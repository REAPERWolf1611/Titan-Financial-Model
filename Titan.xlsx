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69E4BBD4-AAD1-4D6E-A0C3-EA8FF90EE33B}" xr6:coauthVersionLast="47" xr6:coauthVersionMax="47" xr10:uidLastSave="{00000000-0000-0000-0000-000000000000}"/>
  <bookViews>
    <workbookView xWindow="-108" yWindow="-108" windowWidth="23256" windowHeight="12456" xr2:uid="{0E31F66B-4F2C-4FAE-9699-20D45498ECCF}"/>
  </bookViews>
  <sheets>
    <sheet name="Assumptions" sheetId="1" r:id="rId1"/>
    <sheet name="Income Statement" sheetId="2" r:id="rId2"/>
    <sheet name="Balance Sheet" sheetId="3" r:id="rId3"/>
    <sheet name="Cash Flow" sheetId="4" r:id="rId4"/>
    <sheet name="DC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5" l="1"/>
  <c r="J13" i="5"/>
  <c r="I13" i="5"/>
  <c r="H13" i="5"/>
  <c r="G13" i="5"/>
  <c r="B29" i="1"/>
  <c r="B28" i="1"/>
  <c r="B27" i="1"/>
  <c r="B25" i="1"/>
  <c r="B23" i="1"/>
  <c r="B4" i="4"/>
  <c r="C4" i="4"/>
  <c r="D4" i="4"/>
  <c r="E4" i="4"/>
  <c r="F4" i="4"/>
  <c r="B7" i="4"/>
  <c r="C7" i="4"/>
  <c r="D7" i="4"/>
  <c r="E7" i="4"/>
  <c r="F7" i="4"/>
  <c r="G9" i="4"/>
  <c r="H9" i="4"/>
  <c r="I9" i="4"/>
  <c r="J9" i="4"/>
  <c r="K9" i="4"/>
  <c r="B12" i="4"/>
  <c r="C12" i="4"/>
  <c r="D12" i="4"/>
  <c r="E12" i="4"/>
  <c r="F12" i="4"/>
  <c r="F30" i="2"/>
  <c r="E30" i="2"/>
  <c r="D30" i="2"/>
  <c r="B18" i="1" s="1"/>
  <c r="C30" i="2"/>
  <c r="B30" i="2"/>
  <c r="B29" i="2"/>
  <c r="K10" i="3"/>
  <c r="J10" i="3"/>
  <c r="I10" i="3"/>
  <c r="H10" i="3"/>
  <c r="G10" i="3"/>
  <c r="F12" i="3"/>
  <c r="E12" i="3"/>
  <c r="D12" i="3"/>
  <c r="B17" i="1" s="1"/>
  <c r="C12" i="3"/>
  <c r="C15" i="3" s="1"/>
  <c r="B12" i="3"/>
  <c r="B15" i="3" s="1"/>
  <c r="F15" i="3"/>
  <c r="E15" i="3"/>
  <c r="D15" i="3"/>
  <c r="F24" i="3"/>
  <c r="E24" i="3"/>
  <c r="D24" i="3"/>
  <c r="B16" i="1" s="1"/>
  <c r="C24" i="3"/>
  <c r="B24" i="3"/>
  <c r="F22" i="3"/>
  <c r="E22" i="3"/>
  <c r="D22" i="3"/>
  <c r="C22" i="3"/>
  <c r="B22" i="3"/>
  <c r="B27" i="2"/>
  <c r="B25" i="2"/>
  <c r="B28" i="2" s="1"/>
  <c r="F22" i="2"/>
  <c r="F25" i="2" s="1"/>
  <c r="E22" i="2"/>
  <c r="E25" i="2" s="1"/>
  <c r="D22" i="2"/>
  <c r="D25" i="2" s="1"/>
  <c r="C22" i="2"/>
  <c r="C25" i="2" s="1"/>
  <c r="B22" i="2"/>
  <c r="G3" i="2"/>
  <c r="G11" i="2" s="1"/>
  <c r="F24" i="2"/>
  <c r="E24" i="2"/>
  <c r="D24" i="2"/>
  <c r="B12" i="1" s="1"/>
  <c r="C24" i="2"/>
  <c r="B24" i="2"/>
  <c r="F8" i="2"/>
  <c r="E8" i="2"/>
  <c r="D8" i="2"/>
  <c r="B11" i="1" s="1"/>
  <c r="C8" i="2"/>
  <c r="B8" i="2"/>
  <c r="F12" i="2"/>
  <c r="E12" i="2"/>
  <c r="D12" i="2"/>
  <c r="B10" i="1" s="1"/>
  <c r="C12" i="2"/>
  <c r="B12" i="2"/>
  <c r="F10" i="2"/>
  <c r="E10" i="2"/>
  <c r="D10" i="2"/>
  <c r="B9" i="1" s="1"/>
  <c r="C10" i="2"/>
  <c r="B10" i="2"/>
  <c r="F4" i="2"/>
  <c r="E4" i="2"/>
  <c r="D4" i="2"/>
  <c r="C4" i="2"/>
  <c r="F20" i="2"/>
  <c r="E20" i="2"/>
  <c r="D20" i="2"/>
  <c r="C20" i="2"/>
  <c r="B20" i="2"/>
  <c r="F18" i="2"/>
  <c r="E18" i="2"/>
  <c r="D18" i="2"/>
  <c r="C18" i="2"/>
  <c r="B18" i="2"/>
  <c r="F16" i="2"/>
  <c r="E16" i="2"/>
  <c r="D16" i="2"/>
  <c r="B6" i="1" s="1"/>
  <c r="C16" i="2"/>
  <c r="B16" i="2"/>
  <c r="F14" i="2"/>
  <c r="E14" i="2"/>
  <c r="D14" i="2"/>
  <c r="C14" i="2"/>
  <c r="B14" i="2"/>
  <c r="F6" i="2"/>
  <c r="E6" i="2"/>
  <c r="D6" i="2"/>
  <c r="B4" i="1" s="1"/>
  <c r="C6" i="2"/>
  <c r="B6" i="2"/>
  <c r="F10" i="3"/>
  <c r="E10" i="3"/>
  <c r="D10" i="3"/>
  <c r="C10" i="3"/>
  <c r="B10" i="3"/>
  <c r="B6" i="3"/>
  <c r="F6" i="3"/>
  <c r="E6" i="3"/>
  <c r="D6" i="3"/>
  <c r="C6" i="3"/>
  <c r="G9" i="2" l="1"/>
  <c r="F27" i="2"/>
  <c r="F29" i="2" s="1"/>
  <c r="F28" i="2"/>
  <c r="C27" i="2"/>
  <c r="C29" i="2" s="1"/>
  <c r="C28" i="2"/>
  <c r="D27" i="2"/>
  <c r="D29" i="2" s="1"/>
  <c r="D28" i="2"/>
  <c r="E27" i="2"/>
  <c r="E29" i="2" s="1"/>
  <c r="E28" i="2"/>
  <c r="G15" i="2"/>
  <c r="G23" i="2"/>
  <c r="G7" i="2"/>
  <c r="G5" i="2"/>
  <c r="G11" i="3"/>
  <c r="G15" i="3" s="1"/>
  <c r="G5" i="4"/>
  <c r="G4" i="4" s="1"/>
  <c r="H3" i="2"/>
  <c r="H23" i="3" s="1"/>
  <c r="G23" i="3"/>
  <c r="C28" i="3"/>
  <c r="D28" i="3"/>
  <c r="B15" i="1"/>
  <c r="B28" i="3"/>
  <c r="F28" i="3"/>
  <c r="D29" i="3"/>
  <c r="C29" i="3"/>
  <c r="F29" i="3"/>
  <c r="E28" i="3"/>
  <c r="E29" i="3" s="1"/>
  <c r="B29" i="3"/>
  <c r="B14" i="1"/>
  <c r="B7" i="1"/>
  <c r="G17" i="2" s="1"/>
  <c r="B5" i="1"/>
  <c r="G13" i="2" s="1"/>
  <c r="B8" i="1"/>
  <c r="G19" i="2" s="1"/>
  <c r="G6" i="5" s="1"/>
  <c r="B16" i="3"/>
  <c r="D16" i="3"/>
  <c r="E16" i="3"/>
  <c r="C16" i="3"/>
  <c r="F16" i="3"/>
  <c r="B19" i="1" l="1"/>
  <c r="G22" i="2"/>
  <c r="G25" i="2" s="1"/>
  <c r="G3" i="5" s="1"/>
  <c r="G4" i="5" s="1"/>
  <c r="G5" i="5" s="1"/>
  <c r="H17" i="2"/>
  <c r="H9" i="2"/>
  <c r="H7" i="2"/>
  <c r="I3" i="2"/>
  <c r="H15" i="2"/>
  <c r="H13" i="2"/>
  <c r="H5" i="2"/>
  <c r="H23" i="2"/>
  <c r="H19" i="2"/>
  <c r="H6" i="5" s="1"/>
  <c r="H11" i="2"/>
  <c r="G18" i="3"/>
  <c r="G7" i="5"/>
  <c r="H5" i="4"/>
  <c r="G21" i="3"/>
  <c r="G26" i="2" l="1"/>
  <c r="G27" i="2" s="1"/>
  <c r="G10" i="4" s="1"/>
  <c r="H18" i="3"/>
  <c r="G4" i="3"/>
  <c r="G7" i="4"/>
  <c r="I15" i="2"/>
  <c r="I23" i="2"/>
  <c r="J3" i="2"/>
  <c r="I9" i="2"/>
  <c r="I7" i="2"/>
  <c r="I19" i="2"/>
  <c r="I6" i="5" s="1"/>
  <c r="I5" i="2"/>
  <c r="I11" i="2"/>
  <c r="I13" i="2"/>
  <c r="I17" i="2"/>
  <c r="I5" i="4"/>
  <c r="I23" i="3"/>
  <c r="H4" i="4"/>
  <c r="H7" i="5"/>
  <c r="H22" i="2"/>
  <c r="H25" i="2" s="1"/>
  <c r="H11" i="3"/>
  <c r="H15" i="3" s="1"/>
  <c r="H21" i="3"/>
  <c r="G3" i="4"/>
  <c r="G8" i="5"/>
  <c r="G9" i="5" s="1"/>
  <c r="G15" i="5" s="1"/>
  <c r="H8" i="5" l="1"/>
  <c r="H26" i="2"/>
  <c r="H27" i="2" s="1"/>
  <c r="H3" i="5"/>
  <c r="I22" i="2"/>
  <c r="I25" i="2" s="1"/>
  <c r="I11" i="3"/>
  <c r="I15" i="3" s="1"/>
  <c r="I21" i="3"/>
  <c r="J9" i="2"/>
  <c r="J19" i="2"/>
  <c r="J6" i="5" s="1"/>
  <c r="J15" i="2"/>
  <c r="K3" i="2"/>
  <c r="J7" i="2"/>
  <c r="J11" i="2"/>
  <c r="J17" i="2"/>
  <c r="J13" i="2"/>
  <c r="J23" i="2"/>
  <c r="J5" i="2"/>
  <c r="J23" i="3"/>
  <c r="J5" i="4"/>
  <c r="I4" i="4"/>
  <c r="I7" i="5"/>
  <c r="G12" i="4"/>
  <c r="G25" i="3" s="1"/>
  <c r="G28" i="3" s="1"/>
  <c r="G29" i="3" s="1"/>
  <c r="G6" i="3"/>
  <c r="G16" i="3" s="1"/>
  <c r="I18" i="3"/>
  <c r="J18" i="3" l="1"/>
  <c r="K7" i="2"/>
  <c r="K13" i="2"/>
  <c r="K5" i="2"/>
  <c r="K9" i="2"/>
  <c r="K15" i="2"/>
  <c r="K19" i="2"/>
  <c r="K6" i="5" s="1"/>
  <c r="K23" i="2"/>
  <c r="K11" i="2"/>
  <c r="K17" i="2"/>
  <c r="K23" i="3"/>
  <c r="K5" i="4"/>
  <c r="K18" i="3" s="1"/>
  <c r="I26" i="2"/>
  <c r="I27" i="2" s="1"/>
  <c r="I10" i="4" s="1"/>
  <c r="I7" i="4" s="1"/>
  <c r="I3" i="5"/>
  <c r="J4" i="4"/>
  <c r="J7" i="5"/>
  <c r="H4" i="5"/>
  <c r="H5" i="5" s="1"/>
  <c r="H9" i="5" s="1"/>
  <c r="H15" i="5" s="1"/>
  <c r="I8" i="5"/>
  <c r="J11" i="3"/>
  <c r="J15" i="3" s="1"/>
  <c r="J22" i="2"/>
  <c r="J25" i="2" s="1"/>
  <c r="J21" i="3"/>
  <c r="H10" i="4"/>
  <c r="H3" i="4"/>
  <c r="J8" i="5" l="1"/>
  <c r="J26" i="2"/>
  <c r="J27" i="2" s="1"/>
  <c r="J3" i="5"/>
  <c r="K4" i="4"/>
  <c r="K7" i="5"/>
  <c r="I3" i="4"/>
  <c r="I12" i="4" s="1"/>
  <c r="H7" i="4"/>
  <c r="H12" i="4" s="1"/>
  <c r="H25" i="3" s="1"/>
  <c r="H4" i="3"/>
  <c r="K22" i="2"/>
  <c r="K25" i="2" s="1"/>
  <c r="K11" i="3"/>
  <c r="K15" i="3" s="1"/>
  <c r="K21" i="3"/>
  <c r="I4" i="5"/>
  <c r="I5" i="5" s="1"/>
  <c r="I9" i="5" s="1"/>
  <c r="I15" i="5" s="1"/>
  <c r="K8" i="5" l="1"/>
  <c r="K3" i="5"/>
  <c r="K26" i="2"/>
  <c r="K27" i="2" s="1"/>
  <c r="H28" i="3"/>
  <c r="H29" i="3" s="1"/>
  <c r="I25" i="3"/>
  <c r="J10" i="4"/>
  <c r="J7" i="4" s="1"/>
  <c r="J3" i="4"/>
  <c r="J4" i="5"/>
  <c r="J5" i="5" s="1"/>
  <c r="J9" i="5" s="1"/>
  <c r="J15" i="5" s="1"/>
  <c r="I4" i="3"/>
  <c r="H6" i="3"/>
  <c r="H16" i="3" s="1"/>
  <c r="J12" i="4" l="1"/>
  <c r="J25" i="3" s="1"/>
  <c r="K10" i="4"/>
  <c r="K7" i="4" s="1"/>
  <c r="K3" i="4"/>
  <c r="I28" i="3"/>
  <c r="I29" i="3" s="1"/>
  <c r="K4" i="5"/>
  <c r="K5" i="5" s="1"/>
  <c r="K9" i="5" s="1"/>
  <c r="J4" i="3"/>
  <c r="I6" i="3"/>
  <c r="I16" i="3" s="1"/>
  <c r="K15" i="5" l="1"/>
  <c r="G18" i="5" s="1"/>
  <c r="G20" i="5" s="1"/>
  <c r="G22" i="5" s="1"/>
  <c r="K11" i="5"/>
  <c r="K16" i="5" s="1"/>
  <c r="K4" i="3"/>
  <c r="K6" i="3" s="1"/>
  <c r="K16" i="3" s="1"/>
  <c r="J6" i="3"/>
  <c r="J16" i="3" s="1"/>
  <c r="J28" i="3"/>
  <c r="J29" i="3" s="1"/>
  <c r="K12" i="4"/>
  <c r="K25" i="3" s="1"/>
  <c r="K28" i="3" s="1"/>
  <c r="K29" i="3" s="1"/>
</calcChain>
</file>

<file path=xl/sharedStrings.xml><?xml version="1.0" encoding="utf-8"?>
<sst xmlns="http://schemas.openxmlformats.org/spreadsheetml/2006/main" count="161" uniqueCount="117">
  <si>
    <t>Reserves</t>
  </si>
  <si>
    <t>Investments</t>
  </si>
  <si>
    <t>Long term Borrowings</t>
  </si>
  <si>
    <t>Short term Borrowings</t>
  </si>
  <si>
    <t>Lease Liabilities</t>
  </si>
  <si>
    <t>Non controlling int</t>
  </si>
  <si>
    <t>Trade Payables</t>
  </si>
  <si>
    <t>Advance from Customers</t>
  </si>
  <si>
    <t>Other liability items</t>
  </si>
  <si>
    <t>Inventories</t>
  </si>
  <si>
    <t>Cash Equivalents</t>
  </si>
  <si>
    <t>Loans n Advances</t>
  </si>
  <si>
    <t>Other asset items</t>
  </si>
  <si>
    <t>Net Cash Flow</t>
  </si>
  <si>
    <t>Interest</t>
  </si>
  <si>
    <t>Depreciation</t>
  </si>
  <si>
    <t>Profit before tax</t>
  </si>
  <si>
    <t>Equity Share Capital</t>
  </si>
  <si>
    <t>Total</t>
  </si>
  <si>
    <t>Capital Work in Progress</t>
  </si>
  <si>
    <t>Fixed Assets</t>
  </si>
  <si>
    <t>Sales</t>
  </si>
  <si>
    <t>Other Income</t>
  </si>
  <si>
    <t>Tax</t>
  </si>
  <si>
    <t>Net profit</t>
  </si>
  <si>
    <t>Cash from Operating Activity</t>
  </si>
  <si>
    <t>Cash from Investing Activity</t>
  </si>
  <si>
    <t>Cash from Financing Activity</t>
  </si>
  <si>
    <t xml:space="preserve">Trade receivables </t>
  </si>
  <si>
    <t>Total Equity</t>
  </si>
  <si>
    <t>Total Borrowings</t>
  </si>
  <si>
    <t>Total Other liabilities</t>
  </si>
  <si>
    <t>Total Other Assets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</si>
  <si>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</si>
  <si>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</si>
  <si>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</si>
  <si>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</si>
  <si>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</si>
  <si>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</si>
  <si>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</si>
  <si>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Total Expense</t>
  </si>
  <si>
    <t>Label</t>
  </si>
  <si>
    <t>Forecast Value</t>
  </si>
  <si>
    <t>Explanation</t>
  </si>
  <si>
    <t>Revenue growth rate</t>
  </si>
  <si>
    <t>FY 2022</t>
  </si>
  <si>
    <t>FY 2023</t>
  </si>
  <si>
    <t>FY 2024</t>
  </si>
  <si>
    <t>FY 2025</t>
  </si>
  <si>
    <t>FY 2026</t>
  </si>
  <si>
    <t>Raw Material Cost % of Sales</t>
  </si>
  <si>
    <t>avg of last 3 yrs</t>
  </si>
  <si>
    <t>Employee Cost % of Sales</t>
  </si>
  <si>
    <t>Selling &amp; Admin % of Sales</t>
  </si>
  <si>
    <t>Other Expenses % of Sales</t>
  </si>
  <si>
    <t>Depreciation % of Sales</t>
  </si>
  <si>
    <t>Tax Rate</t>
  </si>
  <si>
    <t>avg Tax/PBT last 2 yrs</t>
  </si>
  <si>
    <t>Power &amp; fuel % of sales</t>
  </si>
  <si>
    <t>Other mfr exp % of sales</t>
  </si>
  <si>
    <t>Change in inventory % of sales</t>
  </si>
  <si>
    <t>Other Income % of sales</t>
  </si>
  <si>
    <t>Interest % of sales</t>
  </si>
  <si>
    <t>Held flat</t>
  </si>
  <si>
    <t>NA</t>
  </si>
  <si>
    <t>Actual</t>
  </si>
  <si>
    <t>FY 2027</t>
  </si>
  <si>
    <t>FY 2028</t>
  </si>
  <si>
    <t>FY 2029</t>
  </si>
  <si>
    <t>FY 2030</t>
  </si>
  <si>
    <t>FY 2031</t>
  </si>
  <si>
    <t>Forecast</t>
  </si>
  <si>
    <t>Inventory days</t>
  </si>
  <si>
    <t>Receivable days</t>
  </si>
  <si>
    <t>Payable days</t>
  </si>
  <si>
    <t>Capex % of sales</t>
  </si>
  <si>
    <t>_ Fixed asset purchased</t>
  </si>
  <si>
    <t>_Other investing activity</t>
  </si>
  <si>
    <t>_Net proceeds from borrowings</t>
  </si>
  <si>
    <t>_Dividends paid</t>
  </si>
  <si>
    <t>_Other financing activity</t>
  </si>
  <si>
    <t>_Interest paid</t>
  </si>
  <si>
    <t>Dividend payout ratio</t>
  </si>
  <si>
    <t xml:space="preserve">Dividend payout </t>
  </si>
  <si>
    <t>Tax rate</t>
  </si>
  <si>
    <t>Fixed assets</t>
  </si>
  <si>
    <t>EBIT</t>
  </si>
  <si>
    <t>Less: Tax on EBIT</t>
  </si>
  <si>
    <t>Add: Depreciation</t>
  </si>
  <si>
    <t>Less: Capex</t>
  </si>
  <si>
    <t>Less: Increase in Net Working Capital</t>
  </si>
  <si>
    <t>NOPAT</t>
  </si>
  <si>
    <t>FCFF</t>
  </si>
  <si>
    <t>Risk free rate</t>
  </si>
  <si>
    <t>Beta</t>
  </si>
  <si>
    <t>Equit risk premium</t>
  </si>
  <si>
    <t>Cost of Debt</t>
  </si>
  <si>
    <t>Market Value of Equity</t>
  </si>
  <si>
    <t>Market Value of Debt</t>
  </si>
  <si>
    <t>current India 10-year G-Sec yield</t>
  </si>
  <si>
    <t>Cost of Equity (CAPM)</t>
  </si>
  <si>
    <t>Standard estimate for India</t>
  </si>
  <si>
    <t>Current share price</t>
  </si>
  <si>
    <t>NOS</t>
  </si>
  <si>
    <t>In Crores</t>
  </si>
  <si>
    <t>eta per TradingView/TipRanks</t>
  </si>
  <si>
    <t>WACC</t>
  </si>
  <si>
    <t>Terminal Value</t>
  </si>
  <si>
    <t>Terminal growth rate</t>
  </si>
  <si>
    <t>Discount Factor</t>
  </si>
  <si>
    <t>PV of FCFF</t>
  </si>
  <si>
    <t>PV of Terminal Value</t>
  </si>
  <si>
    <t>Enterprise Value</t>
  </si>
  <si>
    <t>Equity Value</t>
  </si>
  <si>
    <t>Implied share price</t>
  </si>
  <si>
    <t>Note:</t>
  </si>
  <si>
    <t>At 12% growth, model generates positive and growing cash every forecast year — contrast with 17% scenario, which showed cash turning negative by FY30 due to working-capital intensity outpacing cash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</si>
</sst>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6" formatCode="_(* #,##0.0000_);_(* \(#,##0.0000\);_(* &quot;-&quot;??_);_(@_)"/>
    <numFmt numFmtId="168" formatCode="_(* #,##0.000000_);_(* \(#,##0.000000\);_(* &quot;-&quot;??_);_(@_)"/>
    <numFmt numFmtId="171" formatCode="0.0%"/>
    <numFmt numFmtId="177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9" fontId="0" fillId="0" borderId="0" xfId="0" applyNumberFormat="1"/>
    <xf numFmtId="43" fontId="0" fillId="0" borderId="0" xfId="1" applyFont="1"/>
    <xf numFmtId="43" fontId="1" fillId="0" borderId="0" xfId="1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43" fontId="2" fillId="0" borderId="1" xfId="1" applyFont="1" applyBorder="1"/>
    <xf numFmtId="43" fontId="0" fillId="0" borderId="0" xfId="0" applyNumberFormat="1"/>
    <xf numFmtId="0" fontId="5" fillId="0" borderId="0" xfId="0" applyFont="1"/>
    <xf numFmtId="0" fontId="6" fillId="0" borderId="0" xfId="0" applyFont="1"/>
    <xf numFmtId="9" fontId="0" fillId="0" borderId="0" xfId="2" applyFont="1"/>
    <xf numFmtId="10" fontId="0" fillId="0" borderId="0" xfId="2" applyNumberFormat="1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/>
    <xf numFmtId="43" fontId="1" fillId="0" borderId="5" xfId="1" applyFont="1" applyBorder="1"/>
    <xf numFmtId="43" fontId="1" fillId="0" borderId="0" xfId="1" applyFont="1" applyBorder="1"/>
    <xf numFmtId="43" fontId="1" fillId="0" borderId="6" xfId="1" applyFont="1" applyBorder="1"/>
    <xf numFmtId="43" fontId="6" fillId="0" borderId="5" xfId="1" applyFont="1" applyBorder="1"/>
    <xf numFmtId="9" fontId="6" fillId="0" borderId="0" xfId="2" applyFont="1" applyBorder="1"/>
    <xf numFmtId="9" fontId="6" fillId="0" borderId="6" xfId="2" applyFont="1" applyBorder="1"/>
    <xf numFmtId="9" fontId="6" fillId="0" borderId="5" xfId="2" applyFont="1" applyBorder="1"/>
    <xf numFmtId="168" fontId="6" fillId="0" borderId="5" xfId="1" applyNumberFormat="1" applyFont="1" applyBorder="1"/>
    <xf numFmtId="168" fontId="6" fillId="0" borderId="0" xfId="1" applyNumberFormat="1" applyFont="1" applyBorder="1"/>
    <xf numFmtId="168" fontId="6" fillId="0" borderId="6" xfId="1" applyNumberFormat="1" applyFont="1" applyBorder="1"/>
    <xf numFmtId="166" fontId="6" fillId="0" borderId="5" xfId="1" applyNumberFormat="1" applyFont="1" applyBorder="1"/>
    <xf numFmtId="166" fontId="6" fillId="0" borderId="0" xfId="1" applyNumberFormat="1" applyFont="1" applyBorder="1"/>
    <xf numFmtId="166" fontId="6" fillId="0" borderId="6" xfId="1" applyNumberFormat="1" applyFont="1" applyBorder="1"/>
    <xf numFmtId="43" fontId="2" fillId="0" borderId="5" xfId="1" applyFont="1" applyBorder="1"/>
    <xf numFmtId="43" fontId="2" fillId="0" borderId="0" xfId="1" applyFont="1" applyBorder="1"/>
    <xf numFmtId="43" fontId="2" fillId="0" borderId="6" xfId="1" applyFont="1" applyBorder="1"/>
    <xf numFmtId="43" fontId="2" fillId="0" borderId="7" xfId="1" applyFont="1" applyBorder="1"/>
    <xf numFmtId="43" fontId="2" fillId="0" borderId="8" xfId="1" applyFont="1" applyBorder="1"/>
    <xf numFmtId="43" fontId="2" fillId="0" borderId="9" xfId="1" applyFont="1" applyBorder="1"/>
    <xf numFmtId="43" fontId="0" fillId="0" borderId="5" xfId="0" applyNumberFormat="1" applyBorder="1"/>
    <xf numFmtId="43" fontId="0" fillId="0" borderId="0" xfId="0" applyNumberFormat="1" applyBorder="1"/>
    <xf numFmtId="43" fontId="0" fillId="0" borderId="6" xfId="0" applyNumberForma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77" fontId="0" fillId="0" borderId="0" xfId="0" applyNumberFormat="1"/>
    <xf numFmtId="43" fontId="3" fillId="0" borderId="5" xfId="1" applyFont="1" applyBorder="1"/>
    <xf numFmtId="43" fontId="3" fillId="0" borderId="0" xfId="1" applyFont="1" applyBorder="1"/>
    <xf numFmtId="43" fontId="3" fillId="0" borderId="6" xfId="1" applyFont="1" applyBorder="1"/>
    <xf numFmtId="43" fontId="4" fillId="0" borderId="5" xfId="1" applyFont="1" applyBorder="1"/>
    <xf numFmtId="43" fontId="4" fillId="0" borderId="0" xfId="1" applyFont="1" applyBorder="1"/>
    <xf numFmtId="43" fontId="4" fillId="0" borderId="6" xfId="1" applyFont="1" applyBorder="1"/>
    <xf numFmtId="43" fontId="6" fillId="0" borderId="0" xfId="1" applyFont="1" applyBorder="1"/>
    <xf numFmtId="43" fontId="6" fillId="0" borderId="6" xfId="1" applyFont="1" applyBorder="1"/>
    <xf numFmtId="43" fontId="2" fillId="0" borderId="10" xfId="1" applyFont="1" applyBorder="1"/>
    <xf numFmtId="43" fontId="2" fillId="0" borderId="11" xfId="1" applyFont="1" applyBorder="1"/>
    <xf numFmtId="43" fontId="0" fillId="0" borderId="5" xfId="1" applyFont="1" applyBorder="1"/>
    <xf numFmtId="43" fontId="0" fillId="0" borderId="0" xfId="1" applyFont="1" applyBorder="1"/>
    <xf numFmtId="43" fontId="0" fillId="0" borderId="6" xfId="1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3" fontId="0" fillId="0" borderId="5" xfId="0" applyNumberFormat="1" applyBorder="1"/>
    <xf numFmtId="3" fontId="0" fillId="0" borderId="0" xfId="0" applyNumberFormat="1" applyBorder="1"/>
    <xf numFmtId="3" fontId="0" fillId="0" borderId="6" xfId="0" applyNumberFormat="1" applyBorder="1"/>
    <xf numFmtId="3" fontId="6" fillId="0" borderId="5" xfId="0" applyNumberFormat="1" applyFont="1" applyBorder="1"/>
    <xf numFmtId="3" fontId="6" fillId="0" borderId="0" xfId="0" applyNumberFormat="1" applyFont="1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5" xfId="0" applyFont="1" applyBorder="1"/>
    <xf numFmtId="0" fontId="2" fillId="0" borderId="7" xfId="0" applyFont="1" applyBorder="1"/>
    <xf numFmtId="0" fontId="0" fillId="0" borderId="0" xfId="0" applyFont="1" applyFill="1" applyBorder="1"/>
    <xf numFmtId="43" fontId="2" fillId="0" borderId="5" xfId="0" applyNumberFormat="1" applyFont="1" applyBorder="1"/>
    <xf numFmtId="43" fontId="2" fillId="0" borderId="0" xfId="0" applyNumberFormat="1" applyFont="1" applyBorder="1"/>
    <xf numFmtId="43" fontId="2" fillId="0" borderId="6" xfId="0" applyNumberFormat="1" applyFont="1" applyBorder="1"/>
    <xf numFmtId="43" fontId="5" fillId="0" borderId="5" xfId="0" applyNumberFormat="1" applyFont="1" applyBorder="1"/>
    <xf numFmtId="43" fontId="5" fillId="0" borderId="0" xfId="0" applyNumberFormat="1" applyFont="1" applyBorder="1"/>
    <xf numFmtId="43" fontId="5" fillId="0" borderId="6" xfId="0" applyNumberFormat="1" applyFont="1" applyBorder="1"/>
    <xf numFmtId="43" fontId="5" fillId="0" borderId="5" xfId="1" applyFont="1" applyBorder="1"/>
    <xf numFmtId="43" fontId="5" fillId="0" borderId="0" xfId="1" applyFont="1" applyBorder="1"/>
    <xf numFmtId="43" fontId="5" fillId="0" borderId="6" xfId="1" applyFont="1" applyBorder="1"/>
    <xf numFmtId="0" fontId="5" fillId="0" borderId="5" xfId="0" applyFont="1" applyBorder="1"/>
    <xf numFmtId="0" fontId="5" fillId="0" borderId="0" xfId="0" applyFont="1" applyBorder="1"/>
    <xf numFmtId="3" fontId="5" fillId="0" borderId="6" xfId="0" applyNumberFormat="1" applyFont="1" applyBorder="1"/>
    <xf numFmtId="0" fontId="0" fillId="0" borderId="0" xfId="0" applyAlignment="1">
      <alignment wrapText="1"/>
    </xf>
    <xf numFmtId="43" fontId="0" fillId="0" borderId="0" xfId="0" applyNumberFormat="1" applyAlignment="1">
      <alignment wrapText="1"/>
    </xf>
    <xf numFmtId="171" fontId="0" fillId="0" borderId="0" xfId="0" applyNumberFormat="1"/>
    <xf numFmtId="10" fontId="0" fillId="0" borderId="0" xfId="0" applyNumberFormat="1"/>
    <xf numFmtId="43" fontId="0" fillId="0" borderId="0" xfId="0" applyNumberFormat="1" applyAlignment="1">
      <alignment horizontal="right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43" fontId="0" fillId="0" borderId="1" xfId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7822-35B2-4F2E-9109-AE34DD077D9D}">
  <dimension ref="A1:C32"/>
  <sheetViews>
    <sheetView tabSelected="1" topLeftCell="A7" zoomScale="78" workbookViewId="0">
      <selection activeCell="B32" sqref="B32"/>
    </sheetView>
  </sheetViews>
  <sheetFormatPr defaultRowHeight="14.4" x14ac:dyDescent="0.3"/>
  <cols>
    <col min="1" max="1" width="25" bestFit="1" customWidth="1"/>
    <col min="2" max="2" width="13.109375" bestFit="1" customWidth="1"/>
    <col min="3" max="3" width="53.6640625" bestFit="1" customWidth="1"/>
  </cols>
  <sheetData>
    <row r="1" spans="1:3" x14ac:dyDescent="0.3">
      <c r="C1" t="s">
        <v>104</v>
      </c>
    </row>
    <row r="2" spans="1:3" x14ac:dyDescent="0.3">
      <c r="A2" s="1" t="s">
        <v>41</v>
      </c>
      <c r="B2" s="1" t="s">
        <v>42</v>
      </c>
      <c r="C2" s="1" t="s">
        <v>43</v>
      </c>
    </row>
    <row r="3" spans="1:3" x14ac:dyDescent="0.3">
      <c r="A3" t="s">
        <v>44</v>
      </c>
      <c r="B3" s="12">
        <v>0.12</v>
      </c>
    </row>
    <row r="4" spans="1:3" x14ac:dyDescent="0.3">
      <c r="A4" t="s">
        <v>50</v>
      </c>
      <c r="B4" s="12">
        <f>AVERAGE('Income Statement'!D6,'Income Statement'!E6,'Income Statement'!F6)</f>
        <v>0.88486999835216473</v>
      </c>
      <c r="C4" t="s">
        <v>51</v>
      </c>
    </row>
    <row r="5" spans="1:3" x14ac:dyDescent="0.3">
      <c r="A5" t="s">
        <v>52</v>
      </c>
      <c r="B5" s="12">
        <f>AVERAGE('Income Statement'!D14,'Income Statement'!E14,'Income Statement'!F14)</f>
        <v>3.4411695614901337E-2</v>
      </c>
      <c r="C5" t="s">
        <v>51</v>
      </c>
    </row>
    <row r="6" spans="1:3" x14ac:dyDescent="0.3">
      <c r="A6" t="s">
        <v>53</v>
      </c>
      <c r="B6" s="12">
        <f>AVERAGE('Income Statement'!D16,'Income Statement'!E16,'Income Statement'!F16)</f>
        <v>5.6392641926087859E-2</v>
      </c>
      <c r="C6" t="s">
        <v>51</v>
      </c>
    </row>
    <row r="7" spans="1:3" x14ac:dyDescent="0.3">
      <c r="A7" t="s">
        <v>54</v>
      </c>
      <c r="B7" s="12">
        <f>AVERAGE('Income Statement'!D18,'Income Statement'!E18,'Income Statement'!F18)</f>
        <v>1.8611714671345505E-2</v>
      </c>
      <c r="C7" t="s">
        <v>51</v>
      </c>
    </row>
    <row r="8" spans="1:3" x14ac:dyDescent="0.3">
      <c r="A8" t="s">
        <v>55</v>
      </c>
      <c r="B8" s="12">
        <f>AVERAGE('Income Statement'!D20,'Income Statement'!E20,'Income Statement'!F20)</f>
        <v>1.0775326451554887E-2</v>
      </c>
      <c r="C8" t="s">
        <v>51</v>
      </c>
    </row>
    <row r="9" spans="1:3" x14ac:dyDescent="0.3">
      <c r="A9" t="s">
        <v>58</v>
      </c>
      <c r="B9" s="13">
        <f>AVERAGE('Income Statement'!D10,'Income Statement'!E10,'Income Statement'!F10)</f>
        <v>1.2244647686759612E-3</v>
      </c>
      <c r="C9" t="s">
        <v>51</v>
      </c>
    </row>
    <row r="10" spans="1:3" x14ac:dyDescent="0.3">
      <c r="A10" t="s">
        <v>59</v>
      </c>
      <c r="B10" s="12">
        <f>AVERAGE('Income Statement'!D12,'Income Statement'!E12,'Income Statement'!F12)</f>
        <v>5.0908590952794333E-3</v>
      </c>
      <c r="C10" t="s">
        <v>51</v>
      </c>
    </row>
    <row r="11" spans="1:3" x14ac:dyDescent="0.3">
      <c r="A11" t="s">
        <v>60</v>
      </c>
      <c r="B11" s="12">
        <f>AVERAGE('Income Statement'!D8,'Income Statement'!E8,'Income Statement'!F8)</f>
        <v>-9.8333124946436049E-2</v>
      </c>
      <c r="C11" t="s">
        <v>51</v>
      </c>
    </row>
    <row r="12" spans="1:3" x14ac:dyDescent="0.3">
      <c r="A12" t="s">
        <v>61</v>
      </c>
      <c r="B12" s="12">
        <f>AVERAGE('Income Statement'!D24,'Income Statement'!E24,'Income Statement'!F24)</f>
        <v>7.882246978706051E-3</v>
      </c>
      <c r="C12" t="s">
        <v>51</v>
      </c>
    </row>
    <row r="13" spans="1:3" x14ac:dyDescent="0.3">
      <c r="A13" t="s">
        <v>62</v>
      </c>
      <c r="B13" s="12" t="s">
        <v>64</v>
      </c>
      <c r="C13" t="s">
        <v>63</v>
      </c>
    </row>
    <row r="14" spans="1:3" x14ac:dyDescent="0.3">
      <c r="A14" t="s">
        <v>56</v>
      </c>
      <c r="B14" s="2">
        <f>AVERAGE('Income Statement'!E28,'Income Statement'!F28)</f>
        <v>0.25912393387897592</v>
      </c>
      <c r="C14" t="s">
        <v>57</v>
      </c>
    </row>
    <row r="15" spans="1:3" x14ac:dyDescent="0.3">
      <c r="A15" t="s">
        <v>72</v>
      </c>
      <c r="B15" s="9">
        <f>AVERAGE('Balance Sheet'!D22,'Balance Sheet'!E22,'Balance Sheet'!F22)</f>
        <v>181.90126827150928</v>
      </c>
      <c r="C15" t="s">
        <v>51</v>
      </c>
    </row>
    <row r="16" spans="1:3" x14ac:dyDescent="0.3">
      <c r="A16" t="s">
        <v>73</v>
      </c>
      <c r="B16" s="49">
        <f>AVERAGE('Balance Sheet'!D24,'Balance Sheet'!E24,'Balance Sheet'!F24)</f>
        <v>5.8463550636877457</v>
      </c>
      <c r="C16" t="s">
        <v>51</v>
      </c>
    </row>
    <row r="17" spans="1:3" x14ac:dyDescent="0.3">
      <c r="A17" t="s">
        <v>74</v>
      </c>
      <c r="B17" s="9">
        <f>AVERAGE('Balance Sheet'!D12,'Balance Sheet'!E12,'Balance Sheet'!F12)</f>
        <v>12.738110588654237</v>
      </c>
      <c r="C17" t="s">
        <v>51</v>
      </c>
    </row>
    <row r="18" spans="1:3" x14ac:dyDescent="0.3">
      <c r="A18" t="s">
        <v>75</v>
      </c>
      <c r="B18" s="2">
        <f>AVERAGE('Income Statement'!D30,'Income Statement'!E30,'Income Statement'!F30)</f>
        <v>-1.0665552310850911E-2</v>
      </c>
      <c r="C18" t="s">
        <v>51</v>
      </c>
    </row>
    <row r="19" spans="1:3" x14ac:dyDescent="0.3">
      <c r="A19" t="s">
        <v>82</v>
      </c>
      <c r="B19" s="2">
        <f>AVERAGE('Income Statement'!D29,'Income Statement'!E29,'Income Statement'!F29)</f>
        <v>-0.2462913135475043</v>
      </c>
      <c r="C19" t="s">
        <v>51</v>
      </c>
    </row>
    <row r="20" spans="1:3" x14ac:dyDescent="0.3">
      <c r="A20" t="s">
        <v>93</v>
      </c>
      <c r="B20" s="90">
        <v>6.8000000000000005E-2</v>
      </c>
      <c r="C20" t="s">
        <v>99</v>
      </c>
    </row>
    <row r="21" spans="1:3" x14ac:dyDescent="0.3">
      <c r="A21" t="s">
        <v>94</v>
      </c>
      <c r="B21" s="93">
        <v>0.99</v>
      </c>
      <c r="C21" t="s">
        <v>105</v>
      </c>
    </row>
    <row r="22" spans="1:3" x14ac:dyDescent="0.3">
      <c r="A22" t="s">
        <v>95</v>
      </c>
      <c r="B22" s="2">
        <v>0.06</v>
      </c>
      <c r="C22" t="s">
        <v>101</v>
      </c>
    </row>
    <row r="23" spans="1:3" x14ac:dyDescent="0.3">
      <c r="A23" t="s">
        <v>96</v>
      </c>
      <c r="B23" s="2">
        <f>'Income Statement'!K21/'Balance Sheet'!K10</f>
        <v>3.8535645472061654E-2</v>
      </c>
    </row>
    <row r="24" spans="1:3" x14ac:dyDescent="0.3">
      <c r="A24" t="s">
        <v>97</v>
      </c>
      <c r="B24" s="3">
        <v>449575</v>
      </c>
    </row>
    <row r="25" spans="1:3" x14ac:dyDescent="0.3">
      <c r="A25" t="s">
        <v>98</v>
      </c>
      <c r="B25" s="92">
        <f>'Balance Sheet'!K10</f>
        <v>30621</v>
      </c>
    </row>
    <row r="26" spans="1:3" x14ac:dyDescent="0.3">
      <c r="A26" t="s">
        <v>102</v>
      </c>
      <c r="B26" s="92">
        <v>5064</v>
      </c>
    </row>
    <row r="27" spans="1:3" x14ac:dyDescent="0.3">
      <c r="A27" t="s">
        <v>103</v>
      </c>
      <c r="B27" s="92">
        <f>B24/B26</f>
        <v>88.778633491311211</v>
      </c>
    </row>
    <row r="28" spans="1:3" x14ac:dyDescent="0.3">
      <c r="A28" t="s">
        <v>100</v>
      </c>
      <c r="B28" s="13">
        <f>B20+(B21*B22)</f>
        <v>0.12740000000000001</v>
      </c>
    </row>
    <row r="29" spans="1:3" x14ac:dyDescent="0.3">
      <c r="A29" t="s">
        <v>106</v>
      </c>
      <c r="B29" s="12">
        <f>((B24/(B24+B25))*B28)+(B25/(B24+B25)*B23*(1-B14))</f>
        <v>0.12109657047960169</v>
      </c>
    </row>
    <row r="30" spans="1:3" x14ac:dyDescent="0.3">
      <c r="A30" t="s">
        <v>108</v>
      </c>
      <c r="B30" s="91">
        <v>4.4999999999999998E-2</v>
      </c>
    </row>
    <row r="32" spans="1:3" x14ac:dyDescent="0.3">
      <c r="A32" t="s">
        <v>115</v>
      </c>
      <c r="B3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4110-CA88-4191-9892-53F6A28A3EA6}">
  <dimension ref="A1:K41"/>
  <sheetViews>
    <sheetView zoomScale="79" workbookViewId="0">
      <selection activeCell="G19" sqref="G19"/>
    </sheetView>
  </sheetViews>
  <sheetFormatPr defaultRowHeight="14.4" x14ac:dyDescent="0.3"/>
  <cols>
    <col min="1" max="1" width="17.33203125" bestFit="1" customWidth="1"/>
    <col min="2" max="6" width="10.44140625" bestFit="1" customWidth="1"/>
    <col min="7" max="7" width="11.109375" bestFit="1" customWidth="1"/>
    <col min="8" max="11" width="11.44140625" bestFit="1" customWidth="1"/>
  </cols>
  <sheetData>
    <row r="1" spans="1:11" x14ac:dyDescent="0.3">
      <c r="A1" s="71"/>
      <c r="B1" s="16" t="s">
        <v>65</v>
      </c>
      <c r="C1" s="17"/>
      <c r="D1" s="17"/>
      <c r="E1" s="17"/>
      <c r="F1" s="18"/>
      <c r="G1" s="16" t="s">
        <v>71</v>
      </c>
      <c r="H1" s="17"/>
      <c r="I1" s="17"/>
      <c r="J1" s="17"/>
      <c r="K1" s="18"/>
    </row>
    <row r="2" spans="1:11" s="15" customFormat="1" x14ac:dyDescent="0.3">
      <c r="A2" s="72"/>
      <c r="B2" s="46" t="s">
        <v>45</v>
      </c>
      <c r="C2" s="47" t="s">
        <v>46</v>
      </c>
      <c r="D2" s="47" t="s">
        <v>47</v>
      </c>
      <c r="E2" s="47" t="s">
        <v>48</v>
      </c>
      <c r="F2" s="48" t="s">
        <v>49</v>
      </c>
      <c r="G2" s="46" t="s">
        <v>66</v>
      </c>
      <c r="H2" s="47" t="s">
        <v>67</v>
      </c>
      <c r="I2" s="47" t="s">
        <v>68</v>
      </c>
      <c r="J2" s="47" t="s">
        <v>69</v>
      </c>
      <c r="K2" s="48" t="s">
        <v>70</v>
      </c>
    </row>
    <row r="3" spans="1:11" x14ac:dyDescent="0.3">
      <c r="A3" s="43" t="s">
        <v>21</v>
      </c>
      <c r="B3" s="21">
        <v>28799</v>
      </c>
      <c r="C3" s="22">
        <v>40575</v>
      </c>
      <c r="D3" s="22">
        <v>51084</v>
      </c>
      <c r="E3" s="22">
        <v>60456</v>
      </c>
      <c r="F3" s="23">
        <v>87584</v>
      </c>
      <c r="G3" s="40">
        <f>F3*(1+Assumptions!$B$3)</f>
        <v>98094.080000000016</v>
      </c>
      <c r="H3" s="41">
        <f>G3*(1+Assumptions!$B$3)</f>
        <v>109865.36960000003</v>
      </c>
      <c r="I3" s="41">
        <f>H3*(1+Assumptions!$B$3)</f>
        <v>123049.21395200005</v>
      </c>
      <c r="J3" s="41">
        <f>I3*(1+Assumptions!$B$3)</f>
        <v>137815.11962624008</v>
      </c>
      <c r="K3" s="42">
        <f>J3*(1+Assumptions!$B$3)</f>
        <v>154352.93398138889</v>
      </c>
    </row>
    <row r="4" spans="1:11" x14ac:dyDescent="0.3">
      <c r="A4" s="63"/>
      <c r="B4" s="24"/>
      <c r="C4" s="25">
        <f>(C3-B3)/B3</f>
        <v>0.40890308691274002</v>
      </c>
      <c r="D4" s="25">
        <f>(D3-C3)/C3</f>
        <v>0.2590018484288355</v>
      </c>
      <c r="E4" s="25">
        <f t="shared" ref="E4:F4" si="0">(E3-D3)/D3</f>
        <v>0.1834625322997416</v>
      </c>
      <c r="F4" s="26">
        <f t="shared" si="0"/>
        <v>0.44872303824268889</v>
      </c>
      <c r="G4" s="43"/>
      <c r="H4" s="44"/>
      <c r="I4" s="44"/>
      <c r="J4" s="44"/>
      <c r="K4" s="45"/>
    </row>
    <row r="5" spans="1:11" x14ac:dyDescent="0.3">
      <c r="A5" s="43" t="s">
        <v>33</v>
      </c>
      <c r="B5" s="21">
        <v>26436</v>
      </c>
      <c r="C5" s="22">
        <v>32589</v>
      </c>
      <c r="D5" s="22">
        <v>42103</v>
      </c>
      <c r="E5" s="22">
        <v>55271</v>
      </c>
      <c r="F5" s="23">
        <v>80243</v>
      </c>
      <c r="G5" s="40">
        <f>G3*Assumptions!$B$4</f>
        <v>86800.508407957124</v>
      </c>
      <c r="H5" s="41">
        <f>H3*Assumptions!$B$4</f>
        <v>97216.569416911996</v>
      </c>
      <c r="I5" s="41">
        <f>I3*Assumptions!$B$4</f>
        <v>108882.55774694144</v>
      </c>
      <c r="J5" s="41">
        <f>J3*Assumptions!$B$4</f>
        <v>121948.46467657444</v>
      </c>
      <c r="K5" s="42">
        <f>K3*Assumptions!$B$4</f>
        <v>136582.28043776337</v>
      </c>
    </row>
    <row r="6" spans="1:11" x14ac:dyDescent="0.3">
      <c r="A6" s="43"/>
      <c r="B6" s="27">
        <f>B5/B3</f>
        <v>0.91794853987985692</v>
      </c>
      <c r="C6" s="25">
        <f t="shared" ref="C6:F6" si="1">C5/C3</f>
        <v>0.80317929759704254</v>
      </c>
      <c r="D6" s="25">
        <f t="shared" si="1"/>
        <v>0.82419152767989978</v>
      </c>
      <c r="E6" s="25">
        <f t="shared" si="1"/>
        <v>0.91423514622204582</v>
      </c>
      <c r="F6" s="26">
        <f t="shared" si="1"/>
        <v>0.91618332115454881</v>
      </c>
      <c r="G6" s="43"/>
      <c r="H6" s="44"/>
      <c r="I6" s="44"/>
      <c r="J6" s="44"/>
      <c r="K6" s="45"/>
    </row>
    <row r="7" spans="1:11" x14ac:dyDescent="0.3">
      <c r="A7" s="73" t="s">
        <v>34</v>
      </c>
      <c r="B7" s="21">
        <v>-4795</v>
      </c>
      <c r="C7" s="22">
        <v>-2234</v>
      </c>
      <c r="D7" s="22">
        <v>-2671</v>
      </c>
      <c r="E7" s="22">
        <v>-7815</v>
      </c>
      <c r="F7" s="23">
        <v>-9936</v>
      </c>
      <c r="G7" s="40">
        <f>G3*Assumptions!$B$11</f>
        <v>-9645.8974251456948</v>
      </c>
      <c r="H7" s="41">
        <f>H3*Assumptions!$B$11</f>
        <v>-10803.40511616318</v>
      </c>
      <c r="I7" s="41">
        <f>I3*Assumptions!$B$11</f>
        <v>-12099.813730102762</v>
      </c>
      <c r="J7" s="41">
        <f>J3*Assumptions!$B$11</f>
        <v>-13551.791377715097</v>
      </c>
      <c r="K7" s="42">
        <f>K3*Assumptions!$B$11</f>
        <v>-15178.006343040908</v>
      </c>
    </row>
    <row r="8" spans="1:11" x14ac:dyDescent="0.3">
      <c r="A8" s="19"/>
      <c r="B8" s="27">
        <f>B7/B3</f>
        <v>-0.16649883676516547</v>
      </c>
      <c r="C8" s="25">
        <f t="shared" ref="C8:F8" si="2">C7/C3</f>
        <v>-5.5058533579790514E-2</v>
      </c>
      <c r="D8" s="25">
        <f t="shared" si="2"/>
        <v>-5.2286430193406938E-2</v>
      </c>
      <c r="E8" s="25">
        <f t="shared" si="2"/>
        <v>-0.12926756649464072</v>
      </c>
      <c r="F8" s="26">
        <f t="shared" si="2"/>
        <v>-0.1134453781512605</v>
      </c>
      <c r="G8" s="43"/>
      <c r="H8" s="44"/>
      <c r="I8" s="44"/>
      <c r="J8" s="44"/>
      <c r="K8" s="45"/>
    </row>
    <row r="9" spans="1:11" x14ac:dyDescent="0.3">
      <c r="A9" s="43" t="s">
        <v>35</v>
      </c>
      <c r="B9" s="21">
        <v>45</v>
      </c>
      <c r="C9" s="22">
        <v>59</v>
      </c>
      <c r="D9" s="22">
        <v>71</v>
      </c>
      <c r="E9" s="22">
        <v>78</v>
      </c>
      <c r="F9" s="23">
        <v>87</v>
      </c>
      <c r="G9" s="40">
        <f>G3*Assumptions!$B$9</f>
        <v>120.11274497568125</v>
      </c>
      <c r="H9" s="41">
        <f>H3*Assumptions!$B$9</f>
        <v>134.52627437276303</v>
      </c>
      <c r="I9" s="41">
        <f>I3*Assumptions!$B$9</f>
        <v>150.66942729749459</v>
      </c>
      <c r="J9" s="41">
        <f>J3*Assumptions!$B$9</f>
        <v>168.74975857319399</v>
      </c>
      <c r="K9" s="42">
        <f>K3*Assumptions!$B$9</f>
        <v>188.99972960197726</v>
      </c>
    </row>
    <row r="10" spans="1:11" x14ac:dyDescent="0.3">
      <c r="A10" s="43"/>
      <c r="B10" s="28">
        <f>B9/B3</f>
        <v>1.5625542553560888E-3</v>
      </c>
      <c r="C10" s="29">
        <f t="shared" ref="C10:F10" si="3">C9/C3</f>
        <v>1.4540973505853358E-3</v>
      </c>
      <c r="D10" s="29">
        <f t="shared" si="3"/>
        <v>1.3898676689374364E-3</v>
      </c>
      <c r="E10" s="29">
        <f t="shared" si="3"/>
        <v>1.2901945216355697E-3</v>
      </c>
      <c r="F10" s="30">
        <f t="shared" si="3"/>
        <v>9.9333211545487763E-4</v>
      </c>
      <c r="G10" s="43"/>
      <c r="H10" s="44"/>
      <c r="I10" s="44"/>
      <c r="J10" s="44"/>
      <c r="K10" s="45"/>
    </row>
    <row r="11" spans="1:11" x14ac:dyDescent="0.3">
      <c r="A11" s="43" t="s">
        <v>36</v>
      </c>
      <c r="B11" s="21">
        <v>183</v>
      </c>
      <c r="C11" s="22">
        <v>225</v>
      </c>
      <c r="D11" s="22">
        <v>286</v>
      </c>
      <c r="E11" s="22">
        <v>326</v>
      </c>
      <c r="F11" s="23">
        <v>375</v>
      </c>
      <c r="G11" s="40">
        <f>G3*Assumptions!$B$10</f>
        <v>499.38313936106846</v>
      </c>
      <c r="H11" s="41">
        <f>H3*Assumptions!$B$10</f>
        <v>559.30911608439669</v>
      </c>
      <c r="I11" s="41">
        <f>I3*Assumptions!$B$10</f>
        <v>626.42621001452437</v>
      </c>
      <c r="J11" s="41">
        <f>J3*Assumptions!$B$10</f>
        <v>701.59735521626749</v>
      </c>
      <c r="K11" s="42">
        <f>K3*Assumptions!$B$10</f>
        <v>785.78903784221961</v>
      </c>
    </row>
    <row r="12" spans="1:11" x14ac:dyDescent="0.3">
      <c r="A12" s="43"/>
      <c r="B12" s="31">
        <f>B11/B3</f>
        <v>6.3543873051147611E-3</v>
      </c>
      <c r="C12" s="32">
        <f t="shared" ref="C12:F12" si="4">C11/C3</f>
        <v>5.5452865064695009E-3</v>
      </c>
      <c r="D12" s="32">
        <f t="shared" si="4"/>
        <v>5.5986218776916449E-3</v>
      </c>
      <c r="E12" s="32">
        <f t="shared" si="4"/>
        <v>5.3923514622204582E-3</v>
      </c>
      <c r="F12" s="33">
        <f t="shared" si="4"/>
        <v>4.2816039459261969E-3</v>
      </c>
      <c r="G12" s="43"/>
      <c r="H12" s="44"/>
      <c r="I12" s="44"/>
      <c r="J12" s="44"/>
      <c r="K12" s="45"/>
    </row>
    <row r="13" spans="1:11" x14ac:dyDescent="0.3">
      <c r="A13" s="43" t="s">
        <v>37</v>
      </c>
      <c r="B13" s="21">
        <v>1356</v>
      </c>
      <c r="C13" s="22">
        <v>1656</v>
      </c>
      <c r="D13" s="22">
        <v>1875</v>
      </c>
      <c r="E13" s="22">
        <v>2164</v>
      </c>
      <c r="F13" s="23">
        <v>2692</v>
      </c>
      <c r="G13" s="40">
        <f>G3*Assumptions!$B$5</f>
        <v>3375.5836225837816</v>
      </c>
      <c r="H13" s="41">
        <f>H3*Assumptions!$B$5</f>
        <v>3780.6536572938357</v>
      </c>
      <c r="I13" s="41">
        <f>I3*Assumptions!$B$5</f>
        <v>4234.332096169097</v>
      </c>
      <c r="J13" s="41">
        <f>J3*Assumptions!$B$5</f>
        <v>4742.4519477093891</v>
      </c>
      <c r="K13" s="42">
        <f>K3*Assumptions!$B$5</f>
        <v>5311.5461814345163</v>
      </c>
    </row>
    <row r="14" spans="1:11" x14ac:dyDescent="0.3">
      <c r="A14" s="43"/>
      <c r="B14" s="27">
        <f>B13/B3</f>
        <v>4.7084968228063476E-2</v>
      </c>
      <c r="C14" s="25">
        <f t="shared" ref="C14:F14" si="5">C13/C3</f>
        <v>4.0813308687615527E-2</v>
      </c>
      <c r="D14" s="25">
        <f t="shared" si="5"/>
        <v>3.6704251820530893E-2</v>
      </c>
      <c r="E14" s="25">
        <f t="shared" si="5"/>
        <v>3.5794627497684264E-2</v>
      </c>
      <c r="F14" s="26">
        <f t="shared" si="5"/>
        <v>3.0736207526488857E-2</v>
      </c>
      <c r="G14" s="43"/>
      <c r="H14" s="44"/>
      <c r="I14" s="44"/>
      <c r="J14" s="44"/>
      <c r="K14" s="45"/>
    </row>
    <row r="15" spans="1:11" x14ac:dyDescent="0.3">
      <c r="A15" s="43" t="s">
        <v>38</v>
      </c>
      <c r="B15" s="21">
        <v>1697</v>
      </c>
      <c r="C15" s="22">
        <v>2715</v>
      </c>
      <c r="D15" s="22">
        <v>3249</v>
      </c>
      <c r="E15" s="22">
        <v>3494</v>
      </c>
      <c r="F15" s="23">
        <v>4185</v>
      </c>
      <c r="G15" s="40">
        <f>G3*Assumptions!$B$6</f>
        <v>5531.7843285090175</v>
      </c>
      <c r="H15" s="41">
        <f>H3*Assumptions!$B$6</f>
        <v>6195.5984479301005</v>
      </c>
      <c r="I15" s="41">
        <f>I3*Assumptions!$B$6</f>
        <v>6939.0702616817134</v>
      </c>
      <c r="J15" s="41">
        <f>J3*Assumptions!$B$6</f>
        <v>7771.7586930835196</v>
      </c>
      <c r="K15" s="42">
        <f>K3*Assumptions!$B$6</f>
        <v>8704.3697362535422</v>
      </c>
    </row>
    <row r="16" spans="1:11" x14ac:dyDescent="0.3">
      <c r="A16" s="43"/>
      <c r="B16" s="27">
        <f>B15/B3</f>
        <v>5.8925657140872945E-2</v>
      </c>
      <c r="C16" s="25">
        <f t="shared" ref="C16:F16" si="6">C15/C3</f>
        <v>6.6913123844731984E-2</v>
      </c>
      <c r="D16" s="25">
        <f t="shared" si="6"/>
        <v>6.360112755461593E-2</v>
      </c>
      <c r="E16" s="25">
        <f t="shared" si="6"/>
        <v>5.7794098187111287E-2</v>
      </c>
      <c r="F16" s="26">
        <f t="shared" si="6"/>
        <v>4.7782700036536355E-2</v>
      </c>
      <c r="G16" s="43"/>
      <c r="H16" s="44"/>
      <c r="I16" s="44"/>
      <c r="J16" s="44"/>
      <c r="K16" s="45"/>
    </row>
    <row r="17" spans="1:11" x14ac:dyDescent="0.3">
      <c r="A17" s="43" t="s">
        <v>39</v>
      </c>
      <c r="B17" s="21">
        <v>533</v>
      </c>
      <c r="C17" s="22">
        <v>683</v>
      </c>
      <c r="D17" s="22">
        <v>879</v>
      </c>
      <c r="E17" s="22">
        <v>1244</v>
      </c>
      <c r="F17" s="23">
        <v>1581</v>
      </c>
      <c r="G17" s="40">
        <f>G3*Assumptions!$B$7</f>
        <v>1825.6990279081399</v>
      </c>
      <c r="H17" s="41">
        <f>H3*Assumptions!$B$7</f>
        <v>2044.7829112571171</v>
      </c>
      <c r="I17" s="41">
        <f>I3*Assumptions!$B$7</f>
        <v>2290.1568606079713</v>
      </c>
      <c r="J17" s="41">
        <f>J3*Assumptions!$B$7</f>
        <v>2564.9756838809285</v>
      </c>
      <c r="K17" s="42">
        <f>K3*Assumptions!$B$7</f>
        <v>2872.77276594664</v>
      </c>
    </row>
    <row r="18" spans="1:11" x14ac:dyDescent="0.3">
      <c r="A18" s="43"/>
      <c r="B18" s="27">
        <f>B17/B3</f>
        <v>1.8507587068995451E-2</v>
      </c>
      <c r="C18" s="25">
        <f t="shared" ref="C18:F18" si="7">C17/C3</f>
        <v>1.6833025261860753E-2</v>
      </c>
      <c r="D18" s="25">
        <f t="shared" si="7"/>
        <v>1.7206953253464882E-2</v>
      </c>
      <c r="E18" s="25">
        <f t="shared" si="7"/>
        <v>2.0576948524546779E-2</v>
      </c>
      <c r="F18" s="26">
        <f t="shared" si="7"/>
        <v>1.8051242236024844E-2</v>
      </c>
      <c r="G18" s="43"/>
      <c r="H18" s="44"/>
      <c r="I18" s="44"/>
      <c r="J18" s="44"/>
      <c r="K18" s="45"/>
    </row>
    <row r="19" spans="1:11" x14ac:dyDescent="0.3">
      <c r="A19" s="43" t="s">
        <v>15</v>
      </c>
      <c r="B19" s="21">
        <v>399</v>
      </c>
      <c r="C19" s="22">
        <v>441</v>
      </c>
      <c r="D19" s="22">
        <v>584</v>
      </c>
      <c r="E19" s="22">
        <v>693</v>
      </c>
      <c r="F19" s="23">
        <v>826</v>
      </c>
      <c r="G19" s="40">
        <f>G3*Assumptions!$B$8</f>
        <v>1056.9957349649414</v>
      </c>
      <c r="H19" s="41">
        <f>H3*Assumptions!$B$8</f>
        <v>1183.8352231607346</v>
      </c>
      <c r="I19" s="41">
        <f>I3*Assumptions!$B$8</f>
        <v>1325.8954499400229</v>
      </c>
      <c r="J19" s="41">
        <f>J3*Assumptions!$B$8</f>
        <v>1485.0029039328258</v>
      </c>
      <c r="K19" s="42">
        <f>K3*Assumptions!$B$8</f>
        <v>1663.203252404765</v>
      </c>
    </row>
    <row r="20" spans="1:11" x14ac:dyDescent="0.3">
      <c r="A20" s="43"/>
      <c r="B20" s="27">
        <f>B19/B3</f>
        <v>1.3854647730823988E-2</v>
      </c>
      <c r="C20" s="25">
        <f t="shared" ref="C20:F20" si="8">C19/C3</f>
        <v>1.0868761552680222E-2</v>
      </c>
      <c r="D20" s="25">
        <f t="shared" si="8"/>
        <v>1.1432150967034689E-2</v>
      </c>
      <c r="E20" s="25">
        <f t="shared" si="8"/>
        <v>1.146288209606987E-2</v>
      </c>
      <c r="F20" s="26">
        <f t="shared" si="8"/>
        <v>9.4309462915601015E-3</v>
      </c>
      <c r="G20" s="43"/>
      <c r="H20" s="44"/>
      <c r="I20" s="44"/>
      <c r="J20" s="44"/>
      <c r="K20" s="45"/>
    </row>
    <row r="21" spans="1:11" x14ac:dyDescent="0.3">
      <c r="A21" s="43" t="s">
        <v>14</v>
      </c>
      <c r="B21" s="21">
        <v>218</v>
      </c>
      <c r="C21" s="22">
        <v>300</v>
      </c>
      <c r="D21" s="22">
        <v>619</v>
      </c>
      <c r="E21" s="22">
        <v>953</v>
      </c>
      <c r="F21" s="23">
        <v>1180</v>
      </c>
      <c r="G21" s="21">
        <v>1180</v>
      </c>
      <c r="H21" s="22">
        <v>1180</v>
      </c>
      <c r="I21" s="22">
        <v>1180</v>
      </c>
      <c r="J21" s="22">
        <v>1180</v>
      </c>
      <c r="K21" s="23">
        <v>1180</v>
      </c>
    </row>
    <row r="22" spans="1:11" x14ac:dyDescent="0.3">
      <c r="A22" s="19" t="s">
        <v>40</v>
      </c>
      <c r="B22" s="34">
        <f>B5+B7+B9+B11+B13+B15+B17+B19+B21</f>
        <v>26072</v>
      </c>
      <c r="C22" s="35">
        <f t="shared" ref="C22:K22" si="9">C5+C7+C9+C11+C13+C15+C17+C19+C21</f>
        <v>36434</v>
      </c>
      <c r="D22" s="35">
        <f t="shared" si="9"/>
        <v>46995</v>
      </c>
      <c r="E22" s="35">
        <f t="shared" si="9"/>
        <v>56408</v>
      </c>
      <c r="F22" s="36">
        <f t="shared" si="9"/>
        <v>81233</v>
      </c>
      <c r="G22" s="34">
        <f t="shared" si="9"/>
        <v>90744.169581114067</v>
      </c>
      <c r="H22" s="35">
        <f t="shared" si="9"/>
        <v>101491.86993084775</v>
      </c>
      <c r="I22" s="35">
        <f t="shared" si="9"/>
        <v>113529.29432254951</v>
      </c>
      <c r="J22" s="35">
        <f t="shared" si="9"/>
        <v>127011.20964125545</v>
      </c>
      <c r="K22" s="36">
        <f t="shared" si="9"/>
        <v>142110.9547982061</v>
      </c>
    </row>
    <row r="23" spans="1:11" x14ac:dyDescent="0.3">
      <c r="A23" s="43" t="s">
        <v>22</v>
      </c>
      <c r="B23" s="21">
        <v>177</v>
      </c>
      <c r="C23" s="22">
        <v>306</v>
      </c>
      <c r="D23" s="22">
        <v>534</v>
      </c>
      <c r="E23" s="22">
        <v>487</v>
      </c>
      <c r="F23" s="23">
        <v>450</v>
      </c>
      <c r="G23" s="40">
        <f>G3*Assumptions!$B$12</f>
        <v>773.20176570894978</v>
      </c>
      <c r="H23" s="41">
        <f>H3*Assumptions!$B$12</f>
        <v>865.98597759402389</v>
      </c>
      <c r="I23" s="41">
        <f>I3*Assumptions!$B$12</f>
        <v>969.90429490530687</v>
      </c>
      <c r="J23" s="41">
        <f>J3*Assumptions!$B$12</f>
        <v>1086.2928102939438</v>
      </c>
      <c r="K23" s="42">
        <f>K3*Assumptions!$B$12</f>
        <v>1216.6479475292172</v>
      </c>
    </row>
    <row r="24" spans="1:11" x14ac:dyDescent="0.3">
      <c r="A24" s="43"/>
      <c r="B24" s="27">
        <f>B23/B3</f>
        <v>6.1460467377339491E-3</v>
      </c>
      <c r="C24" s="25">
        <f>C23/C3</f>
        <v>7.5415896487985214E-3</v>
      </c>
      <c r="D24" s="25">
        <f>D23/D3</f>
        <v>1.0453370918487198E-2</v>
      </c>
      <c r="E24" s="25">
        <f>E23/E3</f>
        <v>8.0554452825195178E-3</v>
      </c>
      <c r="F24" s="26">
        <f>F23/F3</f>
        <v>5.1379247351114356E-3</v>
      </c>
      <c r="G24" s="43"/>
      <c r="H24" s="44"/>
      <c r="I24" s="44"/>
      <c r="J24" s="44"/>
      <c r="K24" s="45"/>
    </row>
    <row r="25" spans="1:11" ht="15" thickBot="1" x14ac:dyDescent="0.35">
      <c r="A25" s="74" t="s">
        <v>16</v>
      </c>
      <c r="B25" s="37">
        <f>B3+B23-B22</f>
        <v>2904</v>
      </c>
      <c r="C25" s="38">
        <f t="shared" ref="C25:K25" si="10">C3+C23-C22</f>
        <v>4447</v>
      </c>
      <c r="D25" s="38">
        <f t="shared" si="10"/>
        <v>4623</v>
      </c>
      <c r="E25" s="38">
        <f t="shared" si="10"/>
        <v>4535</v>
      </c>
      <c r="F25" s="39">
        <f t="shared" si="10"/>
        <v>6801</v>
      </c>
      <c r="G25" s="37">
        <f t="shared" si="10"/>
        <v>8123.1121845948946</v>
      </c>
      <c r="H25" s="38">
        <f t="shared" si="10"/>
        <v>9239.4856467463105</v>
      </c>
      <c r="I25" s="38">
        <f t="shared" si="10"/>
        <v>10489.823924355849</v>
      </c>
      <c r="J25" s="38">
        <f t="shared" si="10"/>
        <v>11890.202795278557</v>
      </c>
      <c r="K25" s="39">
        <f t="shared" si="10"/>
        <v>13458.627130712004</v>
      </c>
    </row>
    <row r="26" spans="1:11" x14ac:dyDescent="0.3">
      <c r="A26" t="s">
        <v>23</v>
      </c>
      <c r="B26" s="21">
        <v>706</v>
      </c>
      <c r="C26" s="22">
        <v>1173</v>
      </c>
      <c r="D26" s="22">
        <v>1127</v>
      </c>
      <c r="E26" s="22">
        <v>1198</v>
      </c>
      <c r="F26" s="23">
        <v>1728</v>
      </c>
      <c r="G26" s="66">
        <f>G25*Assumptions!$B$14</f>
        <v>2104.8927846124711</v>
      </c>
      <c r="H26" s="67">
        <f>H25*Assumptions!$B$14</f>
        <v>2394.171867803238</v>
      </c>
      <c r="I26" s="67">
        <f>I25*Assumptions!$B$14</f>
        <v>2718.1644409768846</v>
      </c>
      <c r="J26" s="67">
        <f>J25*Assumptions!$B$14</f>
        <v>3081.0361229313758</v>
      </c>
      <c r="K26" s="68">
        <f>K25*Assumptions!$B$14</f>
        <v>3487.4524067204088</v>
      </c>
    </row>
    <row r="27" spans="1:11" ht="15" thickBot="1" x14ac:dyDescent="0.35">
      <c r="A27" s="7" t="s">
        <v>24</v>
      </c>
      <c r="B27" s="37">
        <f>B25-B26</f>
        <v>2198</v>
      </c>
      <c r="C27" s="38">
        <f t="shared" ref="C27:K27" si="11">C25-C26</f>
        <v>3274</v>
      </c>
      <c r="D27" s="38">
        <f t="shared" si="11"/>
        <v>3496</v>
      </c>
      <c r="E27" s="38">
        <f t="shared" si="11"/>
        <v>3337</v>
      </c>
      <c r="F27" s="39">
        <f t="shared" si="11"/>
        <v>5073</v>
      </c>
      <c r="G27" s="37">
        <f t="shared" si="11"/>
        <v>6018.2193999824231</v>
      </c>
      <c r="H27" s="38">
        <f t="shared" si="11"/>
        <v>6845.313778943073</v>
      </c>
      <c r="I27" s="38">
        <f t="shared" si="11"/>
        <v>7771.6594833789641</v>
      </c>
      <c r="J27" s="38">
        <f t="shared" si="11"/>
        <v>8809.1666723471826</v>
      </c>
      <c r="K27" s="39">
        <f t="shared" si="11"/>
        <v>9971.1747239915949</v>
      </c>
    </row>
    <row r="28" spans="1:11" ht="15" thickTop="1" x14ac:dyDescent="0.3">
      <c r="A28" s="14" t="s">
        <v>84</v>
      </c>
      <c r="B28" s="2">
        <f>B26/B25</f>
        <v>0.24311294765840222</v>
      </c>
      <c r="C28" s="2">
        <f t="shared" ref="C28:F28" si="12">C26/C25</f>
        <v>0.26377333033505734</v>
      </c>
      <c r="D28" s="2">
        <f t="shared" si="12"/>
        <v>0.24378109452736318</v>
      </c>
      <c r="E28" s="2">
        <f t="shared" si="12"/>
        <v>0.26416758544652702</v>
      </c>
      <c r="F28" s="2">
        <f t="shared" si="12"/>
        <v>0.25408028231142477</v>
      </c>
      <c r="G28" s="2"/>
      <c r="H28" s="2"/>
    </row>
    <row r="29" spans="1:11" x14ac:dyDescent="0.3">
      <c r="A29" s="75" t="s">
        <v>83</v>
      </c>
      <c r="B29" s="2">
        <f>'Cash Flow'!B10/'Income Statement'!B27</f>
        <v>-0.16151046405823477</v>
      </c>
      <c r="C29" s="2">
        <f>'Cash Flow'!C10/'Income Statement'!C27</f>
        <v>-0.20342089187538179</v>
      </c>
      <c r="D29" s="2">
        <f>'Cash Flow'!D10/'Income Statement'!D27</f>
        <v>-0.25400457665903892</v>
      </c>
      <c r="E29" s="2">
        <f>'Cash Flow'!E10/'Income Statement'!E27</f>
        <v>-0.29247827389871139</v>
      </c>
      <c r="F29" s="2">
        <f>'Cash Flow'!F10/'Income Statement'!F27</f>
        <v>-0.19239109008476246</v>
      </c>
      <c r="G29" s="2"/>
      <c r="H29" s="2"/>
    </row>
    <row r="30" spans="1:11" x14ac:dyDescent="0.3">
      <c r="A30" s="75" t="s">
        <v>85</v>
      </c>
      <c r="B30" s="2">
        <f>'Cash Flow'!B5/'Income Statement'!B3</f>
        <v>-7.7780478488836419E-3</v>
      </c>
      <c r="C30" s="2">
        <f>'Cash Flow'!C5/'Income Statement'!C3</f>
        <v>-1.0646950092421443E-2</v>
      </c>
      <c r="D30" s="2">
        <f>'Cash Flow'!D5/'Income Statement'!D3</f>
        <v>-1.3526740270926317E-2</v>
      </c>
      <c r="E30" s="2">
        <f>'Cash Flow'!E5/'Income Statement'!E3</f>
        <v>-8.1712319703586087E-3</v>
      </c>
      <c r="F30" s="2">
        <f>'Cash Flow'!F5/'Income Statement'!F3</f>
        <v>-1.0298684691267811E-2</v>
      </c>
      <c r="G30" s="2"/>
      <c r="H30" s="2"/>
    </row>
    <row r="31" spans="1:11" x14ac:dyDescent="0.3">
      <c r="B31" s="3"/>
      <c r="C31" s="3"/>
      <c r="D31" s="3"/>
      <c r="E31" s="3"/>
      <c r="F31" s="3"/>
    </row>
    <row r="32" spans="1:11" x14ac:dyDescent="0.3">
      <c r="B32" s="3"/>
      <c r="C32" s="3"/>
      <c r="D32" s="3"/>
      <c r="E32" s="3"/>
      <c r="F32" s="3"/>
    </row>
    <row r="33" spans="2:6" x14ac:dyDescent="0.3">
      <c r="B33" s="2"/>
      <c r="C33" s="2"/>
      <c r="D33" s="2"/>
      <c r="E33" s="2"/>
      <c r="F33" s="2"/>
    </row>
    <row r="34" spans="2:6" x14ac:dyDescent="0.3">
      <c r="B34" s="3"/>
      <c r="C34" s="3"/>
      <c r="D34" s="3"/>
      <c r="E34" s="3"/>
      <c r="F34" s="3"/>
    </row>
    <row r="35" spans="2:6" x14ac:dyDescent="0.3">
      <c r="B35" s="3"/>
      <c r="C35" s="3"/>
      <c r="D35" s="3"/>
      <c r="E35" s="3"/>
      <c r="F35" s="3"/>
    </row>
    <row r="36" spans="2:6" x14ac:dyDescent="0.3">
      <c r="B36" s="3"/>
      <c r="C36" s="3"/>
      <c r="D36" s="3"/>
      <c r="E36" s="3"/>
      <c r="F36" s="3"/>
    </row>
    <row r="37" spans="2:6" x14ac:dyDescent="0.3">
      <c r="B37" s="3"/>
      <c r="C37" s="3"/>
      <c r="D37" s="3"/>
      <c r="E37" s="3"/>
      <c r="F37" s="3"/>
    </row>
    <row r="38" spans="2:6" x14ac:dyDescent="0.3">
      <c r="B38" s="2"/>
      <c r="C38" s="2"/>
      <c r="D38" s="2"/>
      <c r="E38" s="2"/>
      <c r="F38" s="2"/>
    </row>
    <row r="39" spans="2:6" x14ac:dyDescent="0.3">
      <c r="B39" s="3"/>
      <c r="C39" s="3"/>
      <c r="D39" s="3"/>
      <c r="E39" s="3"/>
      <c r="F39" s="3"/>
    </row>
    <row r="40" spans="2:6" x14ac:dyDescent="0.3">
      <c r="B40" s="3"/>
      <c r="C40" s="3"/>
      <c r="D40" s="3"/>
      <c r="E40" s="3"/>
      <c r="F40" s="3"/>
    </row>
    <row r="41" spans="2:6" x14ac:dyDescent="0.3">
      <c r="B41" s="2"/>
      <c r="C41" s="2"/>
      <c r="D41" s="2"/>
      <c r="E41" s="2"/>
      <c r="F41" s="2"/>
    </row>
  </sheetData>
  <mergeCells count="2">
    <mergeCell ref="B1:F1"/>
    <mergeCell ref="G1:K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6278-886E-4759-8E6F-2C7C8281D188}">
  <dimension ref="A1:K44"/>
  <sheetViews>
    <sheetView zoomScale="77" workbookViewId="0">
      <selection activeCell="F25" sqref="F25"/>
    </sheetView>
  </sheetViews>
  <sheetFormatPr defaultRowHeight="14.4" x14ac:dyDescent="0.3"/>
  <cols>
    <col min="1" max="1" width="21.77734375" bestFit="1" customWidth="1"/>
    <col min="2" max="6" width="10.44140625" style="4" bestFit="1" customWidth="1"/>
    <col min="7" max="8" width="10.44140625" bestFit="1" customWidth="1"/>
    <col min="9" max="11" width="10.88671875" bestFit="1" customWidth="1"/>
  </cols>
  <sheetData>
    <row r="1" spans="1:11" x14ac:dyDescent="0.3">
      <c r="B1" s="16" t="s">
        <v>65</v>
      </c>
      <c r="C1" s="17"/>
      <c r="D1" s="17"/>
      <c r="E1" s="17"/>
      <c r="F1" s="18"/>
      <c r="G1" s="16" t="s">
        <v>71</v>
      </c>
      <c r="H1" s="17"/>
      <c r="I1" s="17"/>
      <c r="J1" s="17"/>
      <c r="K1" s="18"/>
    </row>
    <row r="2" spans="1:11" x14ac:dyDescent="0.3">
      <c r="B2" s="46" t="s">
        <v>45</v>
      </c>
      <c r="C2" s="47" t="s">
        <v>46</v>
      </c>
      <c r="D2" s="47" t="s">
        <v>47</v>
      </c>
      <c r="E2" s="47" t="s">
        <v>48</v>
      </c>
      <c r="F2" s="48" t="s">
        <v>49</v>
      </c>
      <c r="G2" s="46" t="s">
        <v>66</v>
      </c>
      <c r="H2" s="47" t="s">
        <v>67</v>
      </c>
      <c r="I2" s="47" t="s">
        <v>68</v>
      </c>
      <c r="J2" s="47" t="s">
        <v>69</v>
      </c>
      <c r="K2" s="48" t="s">
        <v>70</v>
      </c>
    </row>
    <row r="3" spans="1:11" x14ac:dyDescent="0.3">
      <c r="A3" t="s">
        <v>17</v>
      </c>
      <c r="B3" s="21">
        <v>89</v>
      </c>
      <c r="C3" s="22">
        <v>89</v>
      </c>
      <c r="D3" s="22">
        <v>89</v>
      </c>
      <c r="E3" s="22">
        <v>89</v>
      </c>
      <c r="F3" s="23">
        <v>89</v>
      </c>
      <c r="G3" s="21">
        <v>89</v>
      </c>
      <c r="H3" s="22">
        <v>89</v>
      </c>
      <c r="I3" s="22">
        <v>89</v>
      </c>
      <c r="J3" s="22">
        <v>89</v>
      </c>
      <c r="K3" s="23">
        <v>89</v>
      </c>
    </row>
    <row r="4" spans="1:11" x14ac:dyDescent="0.3">
      <c r="A4" t="s">
        <v>0</v>
      </c>
      <c r="B4" s="21">
        <v>9214</v>
      </c>
      <c r="C4" s="22">
        <v>11762</v>
      </c>
      <c r="D4" s="22">
        <v>9304</v>
      </c>
      <c r="E4" s="22">
        <v>11535</v>
      </c>
      <c r="F4" s="23">
        <v>15614</v>
      </c>
      <c r="G4" s="40">
        <f>F4+'Income Statement'!G27+'Cash Flow'!G10</f>
        <v>20149.98423874368</v>
      </c>
      <c r="H4" s="41">
        <f>G4+'Income Statement'!H27+'Cash Flow'!H10</f>
        <v>25309.356695426031</v>
      </c>
      <c r="I4" s="41">
        <f>H4+'Income Statement'!I27+'Cash Flow'!I10</f>
        <v>31166.923956199673</v>
      </c>
      <c r="J4" s="41">
        <f>I4+'Income Statement'!J27+'Cash Flow'!J10</f>
        <v>37806.469397555564</v>
      </c>
      <c r="K4" s="42">
        <f>J4+'Income Statement'!K27+'Cash Flow'!K10</f>
        <v>45321.830401163592</v>
      </c>
    </row>
    <row r="5" spans="1:11" x14ac:dyDescent="0.3">
      <c r="A5" s="5" t="s">
        <v>5</v>
      </c>
      <c r="B5" s="50">
        <v>30</v>
      </c>
      <c r="C5" s="51">
        <v>53</v>
      </c>
      <c r="D5" s="51">
        <v>0</v>
      </c>
      <c r="E5" s="51">
        <v>0</v>
      </c>
      <c r="F5" s="52">
        <v>0</v>
      </c>
      <c r="G5" s="50">
        <v>0</v>
      </c>
      <c r="H5" s="51">
        <v>0</v>
      </c>
      <c r="I5" s="51">
        <v>0</v>
      </c>
      <c r="J5" s="51">
        <v>0</v>
      </c>
      <c r="K5" s="52">
        <v>0</v>
      </c>
    </row>
    <row r="6" spans="1:11" x14ac:dyDescent="0.3">
      <c r="A6" s="6" t="s">
        <v>29</v>
      </c>
      <c r="B6" s="53">
        <f>SUM(B3:B5)</f>
        <v>9333</v>
      </c>
      <c r="C6" s="54">
        <f t="shared" ref="C6:K6" si="0">SUM(C3:C5)</f>
        <v>11904</v>
      </c>
      <c r="D6" s="54">
        <f t="shared" si="0"/>
        <v>9393</v>
      </c>
      <c r="E6" s="54">
        <f t="shared" si="0"/>
        <v>11624</v>
      </c>
      <c r="F6" s="55">
        <f t="shared" si="0"/>
        <v>15703</v>
      </c>
      <c r="G6" s="53">
        <f t="shared" si="0"/>
        <v>20238.98423874368</v>
      </c>
      <c r="H6" s="54">
        <f t="shared" si="0"/>
        <v>25398.356695426031</v>
      </c>
      <c r="I6" s="54">
        <f t="shared" si="0"/>
        <v>31255.923956199673</v>
      </c>
      <c r="J6" s="54">
        <f t="shared" si="0"/>
        <v>37895.469397555564</v>
      </c>
      <c r="K6" s="55">
        <f t="shared" si="0"/>
        <v>45410.830401163592</v>
      </c>
    </row>
    <row r="7" spans="1:11" x14ac:dyDescent="0.3">
      <c r="A7" s="5" t="s">
        <v>2</v>
      </c>
      <c r="B7" s="50">
        <v>2</v>
      </c>
      <c r="C7" s="51">
        <v>0</v>
      </c>
      <c r="D7" s="51">
        <v>3302</v>
      </c>
      <c r="E7" s="51">
        <v>595</v>
      </c>
      <c r="F7" s="52">
        <v>93</v>
      </c>
      <c r="G7" s="50">
        <v>93</v>
      </c>
      <c r="H7" s="51">
        <v>93</v>
      </c>
      <c r="I7" s="51">
        <v>93</v>
      </c>
      <c r="J7" s="51">
        <v>93</v>
      </c>
      <c r="K7" s="52">
        <v>93</v>
      </c>
    </row>
    <row r="8" spans="1:11" x14ac:dyDescent="0.3">
      <c r="A8" s="5" t="s">
        <v>3</v>
      </c>
      <c r="B8" s="50">
        <v>5914</v>
      </c>
      <c r="C8" s="51">
        <v>7494</v>
      </c>
      <c r="D8" s="51">
        <v>9877</v>
      </c>
      <c r="E8" s="51">
        <v>17501</v>
      </c>
      <c r="F8" s="52">
        <v>27355</v>
      </c>
      <c r="G8" s="50">
        <v>27355</v>
      </c>
      <c r="H8" s="51">
        <v>27355</v>
      </c>
      <c r="I8" s="51">
        <v>27355</v>
      </c>
      <c r="J8" s="51">
        <v>27355</v>
      </c>
      <c r="K8" s="52">
        <v>27355</v>
      </c>
    </row>
    <row r="9" spans="1:11" x14ac:dyDescent="0.3">
      <c r="A9" s="5" t="s">
        <v>4</v>
      </c>
      <c r="B9" s="50">
        <v>1359</v>
      </c>
      <c r="C9" s="51">
        <v>1873</v>
      </c>
      <c r="D9" s="51">
        <v>2349</v>
      </c>
      <c r="E9" s="51">
        <v>2681</v>
      </c>
      <c r="F9" s="52">
        <v>3173</v>
      </c>
      <c r="G9" s="50">
        <v>3173</v>
      </c>
      <c r="H9" s="51">
        <v>3173</v>
      </c>
      <c r="I9" s="51">
        <v>3173</v>
      </c>
      <c r="J9" s="51">
        <v>3173</v>
      </c>
      <c r="K9" s="52">
        <v>3173</v>
      </c>
    </row>
    <row r="10" spans="1:11" s="6" customFormat="1" x14ac:dyDescent="0.3">
      <c r="A10" s="6" t="s">
        <v>30</v>
      </c>
      <c r="B10" s="53">
        <f>SUM(B7:B9)</f>
        <v>7275</v>
      </c>
      <c r="C10" s="54">
        <f t="shared" ref="C10:K10" si="1">SUM(C7:C9)</f>
        <v>9367</v>
      </c>
      <c r="D10" s="54">
        <f t="shared" si="1"/>
        <v>15528</v>
      </c>
      <c r="E10" s="54">
        <f t="shared" si="1"/>
        <v>20777</v>
      </c>
      <c r="F10" s="55">
        <f t="shared" si="1"/>
        <v>30621</v>
      </c>
      <c r="G10" s="53">
        <f t="shared" si="1"/>
        <v>30621</v>
      </c>
      <c r="H10" s="54">
        <f t="shared" si="1"/>
        <v>30621</v>
      </c>
      <c r="I10" s="54">
        <f t="shared" si="1"/>
        <v>30621</v>
      </c>
      <c r="J10" s="54">
        <f t="shared" si="1"/>
        <v>30621</v>
      </c>
      <c r="K10" s="55">
        <f t="shared" si="1"/>
        <v>30621</v>
      </c>
    </row>
    <row r="11" spans="1:11" x14ac:dyDescent="0.3">
      <c r="A11" s="5" t="s">
        <v>6</v>
      </c>
      <c r="B11" s="50">
        <v>1294</v>
      </c>
      <c r="C11" s="51">
        <v>1214</v>
      </c>
      <c r="D11" s="51">
        <v>1410</v>
      </c>
      <c r="E11" s="51">
        <v>1963</v>
      </c>
      <c r="F11" s="52">
        <v>2864</v>
      </c>
      <c r="G11" s="60">
        <f>Assumptions!$B$17/365*'Income Statement'!G5</f>
        <v>3029.2451376766294</v>
      </c>
      <c r="H11" s="61">
        <f>Assumptions!$B$17/365*'Income Statement'!H5</f>
        <v>3392.7545541978257</v>
      </c>
      <c r="I11" s="61">
        <f>Assumptions!$B$17/365*'Income Statement'!I5</f>
        <v>3799.8851007015651</v>
      </c>
      <c r="J11" s="61">
        <f>Assumptions!$B$17/365*'Income Statement'!J5</f>
        <v>4255.8713127857536</v>
      </c>
      <c r="K11" s="62">
        <f>Assumptions!$B$17/365*'Income Statement'!K5</f>
        <v>4766.5758703200436</v>
      </c>
    </row>
    <row r="12" spans="1:11" s="11" customFormat="1" x14ac:dyDescent="0.3">
      <c r="B12" s="24">
        <f>(B11/'Income Statement'!B5)*365</f>
        <v>17.866167347556363</v>
      </c>
      <c r="C12" s="56">
        <f>(C11/'Income Statement'!C5)*365</f>
        <v>13.59691920586701</v>
      </c>
      <c r="D12" s="56">
        <f>(D11/'Income Statement'!D5)*365</f>
        <v>12.223594518205353</v>
      </c>
      <c r="E12" s="56">
        <f>(E11/'Income Statement'!E5)*365</f>
        <v>12.963308063903312</v>
      </c>
      <c r="F12" s="57">
        <f>(F11/'Income Statement'!F5)*365</f>
        <v>13.027429183854043</v>
      </c>
      <c r="G12" s="63"/>
      <c r="H12" s="64"/>
      <c r="I12" s="64"/>
      <c r="J12" s="64"/>
      <c r="K12" s="65"/>
    </row>
    <row r="13" spans="1:11" x14ac:dyDescent="0.3">
      <c r="A13" s="5" t="s">
        <v>7</v>
      </c>
      <c r="B13" s="50">
        <v>532</v>
      </c>
      <c r="C13" s="51">
        <v>718</v>
      </c>
      <c r="D13" s="51">
        <v>1085</v>
      </c>
      <c r="E13" s="51">
        <v>2140</v>
      </c>
      <c r="F13" s="52">
        <v>4745</v>
      </c>
      <c r="G13" s="50">
        <v>4745</v>
      </c>
      <c r="H13" s="51">
        <v>4745</v>
      </c>
      <c r="I13" s="51">
        <v>4745</v>
      </c>
      <c r="J13" s="51">
        <v>4745</v>
      </c>
      <c r="K13" s="52">
        <v>4745</v>
      </c>
    </row>
    <row r="14" spans="1:11" x14ac:dyDescent="0.3">
      <c r="A14" s="5" t="s">
        <v>8</v>
      </c>
      <c r="B14" s="50">
        <v>2754</v>
      </c>
      <c r="C14" s="51">
        <v>3817</v>
      </c>
      <c r="D14" s="51">
        <v>4131</v>
      </c>
      <c r="E14" s="51">
        <v>4141</v>
      </c>
      <c r="F14" s="52">
        <v>6628</v>
      </c>
      <c r="G14" s="50">
        <v>6628</v>
      </c>
      <c r="H14" s="51">
        <v>6628</v>
      </c>
      <c r="I14" s="51">
        <v>6628</v>
      </c>
      <c r="J14" s="51">
        <v>6628</v>
      </c>
      <c r="K14" s="52">
        <v>6628</v>
      </c>
    </row>
    <row r="15" spans="1:11" x14ac:dyDescent="0.3">
      <c r="A15" s="6" t="s">
        <v>31</v>
      </c>
      <c r="B15" s="53">
        <f>SUM(B11:B14)-B12</f>
        <v>4580</v>
      </c>
      <c r="C15" s="54">
        <f t="shared" ref="C15:F15" si="2">SUM(C11:C14)-C12</f>
        <v>5749</v>
      </c>
      <c r="D15" s="54">
        <f t="shared" si="2"/>
        <v>6626</v>
      </c>
      <c r="E15" s="54">
        <f t="shared" si="2"/>
        <v>8244</v>
      </c>
      <c r="F15" s="55">
        <f t="shared" si="2"/>
        <v>14237</v>
      </c>
      <c r="G15" s="53">
        <f t="shared" ref="G15" si="3">SUM(G11:G14)-G12</f>
        <v>14402.245137676629</v>
      </c>
      <c r="H15" s="54">
        <f t="shared" ref="H15" si="4">SUM(H11:H14)-H12</f>
        <v>14765.754554197825</v>
      </c>
      <c r="I15" s="54">
        <f t="shared" ref="I15" si="5">SUM(I11:I14)-I12</f>
        <v>15172.885100701566</v>
      </c>
      <c r="J15" s="54">
        <f t="shared" ref="J15" si="6">SUM(J11:J14)-J12</f>
        <v>15628.871312785754</v>
      </c>
      <c r="K15" s="55">
        <f t="shared" ref="K15" si="7">SUM(K11:K14)-K12</f>
        <v>16139.575870320044</v>
      </c>
    </row>
    <row r="16" spans="1:11" s="1" customFormat="1" ht="15" thickBot="1" x14ac:dyDescent="0.35">
      <c r="A16" s="7" t="s">
        <v>18</v>
      </c>
      <c r="B16" s="58">
        <f>B15+B10+B6</f>
        <v>21188</v>
      </c>
      <c r="C16" s="8">
        <f t="shared" ref="C16:K16" si="8">C15+C10+C6</f>
        <v>27020</v>
      </c>
      <c r="D16" s="8">
        <f t="shared" si="8"/>
        <v>31547</v>
      </c>
      <c r="E16" s="8">
        <f t="shared" si="8"/>
        <v>40645</v>
      </c>
      <c r="F16" s="59">
        <f t="shared" si="8"/>
        <v>60561</v>
      </c>
      <c r="G16" s="58">
        <f t="shared" si="8"/>
        <v>65262.229376420306</v>
      </c>
      <c r="H16" s="8">
        <f t="shared" si="8"/>
        <v>70785.111249623849</v>
      </c>
      <c r="I16" s="8">
        <f t="shared" si="8"/>
        <v>77049.809056901227</v>
      </c>
      <c r="J16" s="8">
        <f t="shared" si="8"/>
        <v>84145.340710341319</v>
      </c>
      <c r="K16" s="59">
        <f t="shared" si="8"/>
        <v>92171.406271483633</v>
      </c>
    </row>
    <row r="17" spans="1:11" ht="15" thickTop="1" x14ac:dyDescent="0.3">
      <c r="A17" s="1"/>
      <c r="B17" s="21"/>
      <c r="C17" s="22"/>
      <c r="D17" s="22"/>
      <c r="E17" s="22"/>
      <c r="F17" s="23"/>
      <c r="G17" s="43"/>
      <c r="H17" s="44"/>
      <c r="I17" s="44"/>
      <c r="J17" s="44"/>
      <c r="K17" s="45"/>
    </row>
    <row r="18" spans="1:11" x14ac:dyDescent="0.3">
      <c r="A18" t="s">
        <v>20</v>
      </c>
      <c r="B18" s="21">
        <v>2544</v>
      </c>
      <c r="C18" s="22">
        <v>2998</v>
      </c>
      <c r="D18" s="22">
        <v>3709</v>
      </c>
      <c r="E18" s="22">
        <v>4062</v>
      </c>
      <c r="F18" s="23">
        <v>6878</v>
      </c>
      <c r="G18" s="40">
        <f>F18-'Cash Flow'!G5-'Income Statement'!G19</f>
        <v>6867.2318066598527</v>
      </c>
      <c r="H18" s="41">
        <f>G18-'Cash Flow'!H5-'Income Statement'!H19</f>
        <v>6855.1714301188877</v>
      </c>
      <c r="I18" s="41">
        <f>H18-'Cash Flow'!I5-'Income Statement'!I19</f>
        <v>6841.6638083930065</v>
      </c>
      <c r="J18" s="41">
        <f>I18-'Cash Flow'!J5-'Income Statement'!J19</f>
        <v>6826.5352720600204</v>
      </c>
      <c r="K18" s="42">
        <f>J18-'Cash Flow'!K5-'Income Statement'!K19</f>
        <v>6809.5913113670758</v>
      </c>
    </row>
    <row r="19" spans="1:11" x14ac:dyDescent="0.3">
      <c r="A19" t="s">
        <v>19</v>
      </c>
      <c r="B19" s="21">
        <v>85</v>
      </c>
      <c r="C19" s="22">
        <v>144</v>
      </c>
      <c r="D19" s="22">
        <v>97</v>
      </c>
      <c r="E19" s="22">
        <v>105</v>
      </c>
      <c r="F19" s="23">
        <v>163</v>
      </c>
      <c r="G19" s="21">
        <v>163</v>
      </c>
      <c r="H19" s="22">
        <v>163</v>
      </c>
      <c r="I19" s="22">
        <v>163</v>
      </c>
      <c r="J19" s="22">
        <v>163</v>
      </c>
      <c r="K19" s="23">
        <v>163</v>
      </c>
    </row>
    <row r="20" spans="1:11" x14ac:dyDescent="0.3">
      <c r="A20" t="s">
        <v>1</v>
      </c>
      <c r="B20" s="21">
        <v>294</v>
      </c>
      <c r="C20" s="22">
        <v>2515</v>
      </c>
      <c r="D20" s="22">
        <v>2345</v>
      </c>
      <c r="E20" s="22">
        <v>1988</v>
      </c>
      <c r="F20" s="23">
        <v>3506</v>
      </c>
      <c r="G20" s="21">
        <v>3506</v>
      </c>
      <c r="H20" s="22">
        <v>3506</v>
      </c>
      <c r="I20" s="22">
        <v>3506</v>
      </c>
      <c r="J20" s="22">
        <v>3506</v>
      </c>
      <c r="K20" s="23">
        <v>3506</v>
      </c>
    </row>
    <row r="21" spans="1:11" x14ac:dyDescent="0.3">
      <c r="A21" s="5" t="s">
        <v>9</v>
      </c>
      <c r="B21" s="50">
        <v>13609</v>
      </c>
      <c r="C21" s="51">
        <v>16584</v>
      </c>
      <c r="D21" s="51">
        <v>19051</v>
      </c>
      <c r="E21" s="51">
        <v>28184</v>
      </c>
      <c r="F21" s="52">
        <v>42743</v>
      </c>
      <c r="G21" s="66">
        <f>Assumptions!$B$15/365*'Income Statement'!G5</f>
        <v>43257.870043888237</v>
      </c>
      <c r="H21" s="67">
        <f>Assumptions!$B$15/365*'Income Statement'!H5</f>
        <v>48448.814449154837</v>
      </c>
      <c r="I21" s="67">
        <f>Assumptions!$B$15/365*'Income Statement'!I5</f>
        <v>54262.672183053415</v>
      </c>
      <c r="J21" s="67">
        <f>Assumptions!$B$15/365*'Income Statement'!J5</f>
        <v>60774.192845019839</v>
      </c>
      <c r="K21" s="68">
        <f>Assumptions!$B$15/365*'Income Statement'!K5</f>
        <v>68067.095986422224</v>
      </c>
    </row>
    <row r="22" spans="1:11" s="11" customFormat="1" x14ac:dyDescent="0.3">
      <c r="B22" s="24">
        <f>(B21/'Income Statement'!B5)*365</f>
        <v>187.89850960811015</v>
      </c>
      <c r="C22" s="56">
        <f>(C21/'Income Statement'!C5)*365</f>
        <v>185.74242842676978</v>
      </c>
      <c r="D22" s="56">
        <f>(D21/'Income Statement'!D5)*365</f>
        <v>165.157233451298</v>
      </c>
      <c r="E22" s="56">
        <f>(E21/'Income Statement'!E5)*365</f>
        <v>186.12219789763165</v>
      </c>
      <c r="F22" s="57">
        <f>(F21/'Income Statement'!F5)*365</f>
        <v>194.42437346559822</v>
      </c>
      <c r="G22" s="69"/>
      <c r="H22" s="70"/>
      <c r="I22" s="64"/>
      <c r="J22" s="64"/>
      <c r="K22" s="65"/>
    </row>
    <row r="23" spans="1:11" x14ac:dyDescent="0.3">
      <c r="A23" s="5" t="s">
        <v>28</v>
      </c>
      <c r="B23" s="50">
        <v>565</v>
      </c>
      <c r="C23" s="51">
        <v>674</v>
      </c>
      <c r="D23" s="51">
        <v>1018</v>
      </c>
      <c r="E23" s="51">
        <v>1068</v>
      </c>
      <c r="F23" s="52">
        <v>916</v>
      </c>
      <c r="G23" s="40">
        <f>Assumptions!$B$16/365*'Income Statement'!G3</f>
        <v>1571.213209111756</v>
      </c>
      <c r="H23" s="41">
        <f>Assumptions!$B$16/365*'Income Statement'!H3</f>
        <v>1759.7587942051671</v>
      </c>
      <c r="I23" s="41">
        <f>Assumptions!$B$16/365*'Income Statement'!I3</f>
        <v>1970.9298495097873</v>
      </c>
      <c r="J23" s="41">
        <f>Assumptions!$B$16/365*'Income Statement'!J3</f>
        <v>2207.4414314509622</v>
      </c>
      <c r="K23" s="42">
        <f>Assumptions!$B$16/365*'Income Statement'!K3</f>
        <v>2472.3344032250775</v>
      </c>
    </row>
    <row r="24" spans="1:11" s="11" customFormat="1" x14ac:dyDescent="0.3">
      <c r="B24" s="24">
        <f>(B23/'Income Statement'!B3)*365</f>
        <v>7.160838918017987</v>
      </c>
      <c r="C24" s="56">
        <f>(C23/'Income Statement'!C3)*365</f>
        <v>6.0630930375847196</v>
      </c>
      <c r="D24" s="56">
        <f>(D23/'Income Statement'!D3)*365</f>
        <v>7.2737060527758199</v>
      </c>
      <c r="E24" s="56">
        <f>(E23/'Income Statement'!E3)*365</f>
        <v>6.4479952362048429</v>
      </c>
      <c r="F24" s="57">
        <f>(F23/'Income Statement'!F3)*365</f>
        <v>3.8173639020825725</v>
      </c>
      <c r="G24" s="63"/>
      <c r="H24" s="64"/>
      <c r="I24" s="64"/>
      <c r="J24" s="64"/>
      <c r="K24" s="65"/>
    </row>
    <row r="25" spans="1:11" x14ac:dyDescent="0.3">
      <c r="A25" s="5" t="s">
        <v>10</v>
      </c>
      <c r="B25" s="50">
        <v>1573</v>
      </c>
      <c r="C25" s="51">
        <v>1343</v>
      </c>
      <c r="D25" s="51">
        <v>1526</v>
      </c>
      <c r="E25" s="51">
        <v>1584</v>
      </c>
      <c r="F25" s="52">
        <v>1917</v>
      </c>
      <c r="G25" s="40">
        <f>F25+'Cash Flow'!G12</f>
        <v>5458.9143167604616</v>
      </c>
      <c r="H25" s="41">
        <f>G25+'Cash Flow'!H12</f>
        <v>5614.3665761449647</v>
      </c>
      <c r="I25" s="41">
        <f>H25+'Cash Flow'!I12</f>
        <v>5867.5432159450265</v>
      </c>
      <c r="J25" s="41">
        <f>I25+'Cash Flow'!J12</f>
        <v>6230.1711618104991</v>
      </c>
      <c r="K25" s="42">
        <f>J25+'Cash Flow'!K12</f>
        <v>6715.3845704692649</v>
      </c>
    </row>
    <row r="26" spans="1:11" x14ac:dyDescent="0.3">
      <c r="A26" s="5" t="s">
        <v>11</v>
      </c>
      <c r="B26" s="50">
        <v>29</v>
      </c>
      <c r="C26" s="51">
        <v>167</v>
      </c>
      <c r="D26" s="51">
        <v>151</v>
      </c>
      <c r="E26" s="51">
        <v>324</v>
      </c>
      <c r="F26" s="52">
        <v>399</v>
      </c>
      <c r="G26" s="50">
        <v>399</v>
      </c>
      <c r="H26" s="51">
        <v>399</v>
      </c>
      <c r="I26" s="51">
        <v>399</v>
      </c>
      <c r="J26" s="51">
        <v>399</v>
      </c>
      <c r="K26" s="52">
        <v>399</v>
      </c>
    </row>
    <row r="27" spans="1:11" x14ac:dyDescent="0.3">
      <c r="A27" s="5" t="s">
        <v>12</v>
      </c>
      <c r="B27" s="50">
        <v>2489</v>
      </c>
      <c r="C27" s="51">
        <v>2595</v>
      </c>
      <c r="D27" s="51">
        <v>3650</v>
      </c>
      <c r="E27" s="51">
        <v>3330</v>
      </c>
      <c r="F27" s="52">
        <v>4039</v>
      </c>
      <c r="G27" s="50">
        <v>4039</v>
      </c>
      <c r="H27" s="51">
        <v>4039</v>
      </c>
      <c r="I27" s="51">
        <v>4039</v>
      </c>
      <c r="J27" s="51">
        <v>4039</v>
      </c>
      <c r="K27" s="52">
        <v>4039</v>
      </c>
    </row>
    <row r="28" spans="1:11" x14ac:dyDescent="0.3">
      <c r="A28" s="6" t="s">
        <v>32</v>
      </c>
      <c r="B28" s="53">
        <f>SUM(B21:B27)-B22-B24</f>
        <v>18265</v>
      </c>
      <c r="C28" s="54">
        <f t="shared" ref="C28:F28" si="9">SUM(C21:C27)-C22-C24</f>
        <v>21363</v>
      </c>
      <c r="D28" s="54">
        <f t="shared" si="9"/>
        <v>25396</v>
      </c>
      <c r="E28" s="54">
        <f t="shared" si="9"/>
        <v>34490.000000000007</v>
      </c>
      <c r="F28" s="55">
        <f t="shared" si="9"/>
        <v>50014</v>
      </c>
      <c r="G28" s="53">
        <f t="shared" ref="G28" si="10">SUM(G21:G27)-G22-G24</f>
        <v>54725.997569760453</v>
      </c>
      <c r="H28" s="54">
        <f t="shared" ref="H28" si="11">SUM(H21:H27)-H22-H24</f>
        <v>60260.939819504973</v>
      </c>
      <c r="I28" s="54">
        <f t="shared" ref="I28" si="12">SUM(I21:I27)-I22-I24</f>
        <v>66539.145248508226</v>
      </c>
      <c r="J28" s="54">
        <f t="shared" ref="J28" si="13">SUM(J21:J27)-J22-J24</f>
        <v>73649.805438281299</v>
      </c>
      <c r="K28" s="55">
        <f t="shared" ref="K28" si="14">SUM(K21:K27)-K22-K24</f>
        <v>81692.814960116564</v>
      </c>
    </row>
    <row r="29" spans="1:11" s="1" customFormat="1" ht="15" thickBot="1" x14ac:dyDescent="0.35">
      <c r="A29" s="7" t="s">
        <v>18</v>
      </c>
      <c r="B29" s="58">
        <f>SUM(B18:B20)+B28</f>
        <v>21188</v>
      </c>
      <c r="C29" s="8">
        <f t="shared" ref="C29:K29" si="15">SUM(C18:C20)+C28</f>
        <v>27020</v>
      </c>
      <c r="D29" s="8">
        <f t="shared" si="15"/>
        <v>31547</v>
      </c>
      <c r="E29" s="8">
        <f t="shared" si="15"/>
        <v>40645.000000000007</v>
      </c>
      <c r="F29" s="59">
        <f t="shared" si="15"/>
        <v>60561</v>
      </c>
      <c r="G29" s="58">
        <f t="shared" si="15"/>
        <v>65262.229376420306</v>
      </c>
      <c r="H29" s="8">
        <f t="shared" si="15"/>
        <v>70785.111249623864</v>
      </c>
      <c r="I29" s="8">
        <f t="shared" si="15"/>
        <v>77049.809056901227</v>
      </c>
      <c r="J29" s="8">
        <f t="shared" si="15"/>
        <v>84145.340710341319</v>
      </c>
      <c r="K29" s="59">
        <f t="shared" si="15"/>
        <v>92171.406271483633</v>
      </c>
    </row>
    <row r="30" spans="1:11" ht="15" thickTop="1" x14ac:dyDescent="0.3">
      <c r="A30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44" spans="1:1" x14ac:dyDescent="0.3">
      <c r="A44" s="1"/>
    </row>
  </sheetData>
  <mergeCells count="2">
    <mergeCell ref="B1:F1"/>
    <mergeCell ref="G1:K1"/>
  </mergeCells>
  <pageMargins left="0.7" right="0.7" top="0.75" bottom="0.75" header="0.3" footer="0.3"/>
  <ignoredErrors>
    <ignoredError sqref="B29:F2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C736-A2C8-4BDD-A85F-6417AEE7DDBE}">
  <dimension ref="A1:K17"/>
  <sheetViews>
    <sheetView workbookViewId="0">
      <selection activeCell="B1" sqref="B1:F1"/>
    </sheetView>
  </sheetViews>
  <sheetFormatPr defaultRowHeight="14.4" x14ac:dyDescent="0.3"/>
  <cols>
    <col min="1" max="1" width="27.5546875" bestFit="1" customWidth="1"/>
    <col min="2" max="2" width="9.77734375" bestFit="1" customWidth="1"/>
    <col min="3" max="4" width="10.33203125" bestFit="1" customWidth="1"/>
    <col min="5" max="5" width="9.77734375" bestFit="1" customWidth="1"/>
    <col min="6" max="11" width="10.33203125" bestFit="1" customWidth="1"/>
    <col min="12" max="16384" width="8.88671875" style="44"/>
  </cols>
  <sheetData>
    <row r="1" spans="1:11" x14ac:dyDescent="0.3">
      <c r="B1" s="16" t="s">
        <v>65</v>
      </c>
      <c r="C1" s="17"/>
      <c r="D1" s="17"/>
      <c r="E1" s="17"/>
      <c r="F1" s="18"/>
      <c r="G1" s="16" t="s">
        <v>71</v>
      </c>
      <c r="H1" s="17"/>
      <c r="I1" s="17"/>
      <c r="J1" s="17"/>
      <c r="K1" s="18"/>
    </row>
    <row r="2" spans="1:11" x14ac:dyDescent="0.3">
      <c r="B2" s="46" t="s">
        <v>45</v>
      </c>
      <c r="C2" s="47" t="s">
        <v>46</v>
      </c>
      <c r="D2" s="47" t="s">
        <v>47</v>
      </c>
      <c r="E2" s="47" t="s">
        <v>48</v>
      </c>
      <c r="F2" s="48" t="s">
        <v>49</v>
      </c>
      <c r="G2" s="46" t="s">
        <v>66</v>
      </c>
      <c r="H2" s="47" t="s">
        <v>67</v>
      </c>
      <c r="I2" s="47" t="s">
        <v>68</v>
      </c>
      <c r="J2" s="47" t="s">
        <v>69</v>
      </c>
      <c r="K2" s="48" t="s">
        <v>70</v>
      </c>
    </row>
    <row r="3" spans="1:11" x14ac:dyDescent="0.3">
      <c r="A3" s="1" t="s">
        <v>25</v>
      </c>
      <c r="B3" s="34">
        <v>-724</v>
      </c>
      <c r="C3" s="35">
        <v>1370</v>
      </c>
      <c r="D3" s="35">
        <v>1695</v>
      </c>
      <c r="E3" s="35">
        <v>-541</v>
      </c>
      <c r="F3" s="36">
        <v>5590</v>
      </c>
      <c r="G3" s="76">
        <f>'Income Statement'!G27+'Income Statement'!G19-('Balance Sheet'!G21-'Balance Sheet'!F21)-('Balance Sheet'!G23-'Balance Sheet'!F23)+('Balance Sheet'!G11-'Balance Sheet'!F11)+'Income Statement'!G21</f>
        <v>7250.3770196240002</v>
      </c>
      <c r="H3" s="77">
        <f>'Income Statement'!H27+'Income Statement'!H19-('Balance Sheet'!H21-'Balance Sheet'!G21)-('Balance Sheet'!H23-'Balance Sheet'!G23)+('Balance Sheet'!H11-'Balance Sheet'!G11)+'Income Statement'!H21</f>
        <v>4193.1684282649931</v>
      </c>
      <c r="I3" s="77">
        <f>'Income Statement'!I27+'Income Statement'!I19-('Balance Sheet'!I21-'Balance Sheet'!H21)-('Balance Sheet'!I23-'Balance Sheet'!H23)+('Balance Sheet'!I11-'Balance Sheet'!H11)+'Income Statement'!I21</f>
        <v>4659.6566906195276</v>
      </c>
      <c r="J3" s="77">
        <f>'Income Statement'!J27+'Income Statement'!J19-('Balance Sheet'!J21-'Balance Sheet'!I21)-('Balance Sheet'!J23-'Balance Sheet'!I23)+('Balance Sheet'!J11-'Balance Sheet'!I11)+'Income Statement'!J21</f>
        <v>5182.1235444565973</v>
      </c>
      <c r="K3" s="78">
        <f>'Income Statement'!K27+'Income Statement'!K19-('Balance Sheet'!K21-'Balance Sheet'!J21)-('Balance Sheet'!K23-'Balance Sheet'!J23)+('Balance Sheet'!K11-'Balance Sheet'!J11)+'Income Statement'!K21</f>
        <v>5767.2864207541497</v>
      </c>
    </row>
    <row r="4" spans="1:11" x14ac:dyDescent="0.3">
      <c r="A4" s="1" t="s">
        <v>26</v>
      </c>
      <c r="B4" s="76">
        <f t="shared" ref="B4:F4" si="0">SUM(B5:B6)</f>
        <v>1165</v>
      </c>
      <c r="C4" s="77">
        <f t="shared" si="0"/>
        <v>-1814</v>
      </c>
      <c r="D4" s="77">
        <f t="shared" si="0"/>
        <v>-189</v>
      </c>
      <c r="E4" s="77">
        <f t="shared" si="0"/>
        <v>546</v>
      </c>
      <c r="F4" s="78">
        <f t="shared" si="0"/>
        <v>-2965</v>
      </c>
      <c r="G4" s="76">
        <f>SUM(G5:G6)</f>
        <v>-1046.2275416247944</v>
      </c>
      <c r="H4" s="77">
        <f t="shared" ref="H4:K4" si="1">SUM(H5:H6)</f>
        <v>-1171.7748466197697</v>
      </c>
      <c r="I4" s="77">
        <f t="shared" si="1"/>
        <v>-1312.3878282141422</v>
      </c>
      <c r="J4" s="77">
        <f t="shared" si="1"/>
        <v>-1469.8743675998396</v>
      </c>
      <c r="K4" s="78">
        <f t="shared" si="1"/>
        <v>-1646.2592917118204</v>
      </c>
    </row>
    <row r="5" spans="1:11" s="86" customFormat="1" x14ac:dyDescent="0.3">
      <c r="A5" s="10" t="s">
        <v>76</v>
      </c>
      <c r="B5" s="82">
        <v>-224</v>
      </c>
      <c r="C5" s="83">
        <v>-432</v>
      </c>
      <c r="D5" s="83">
        <v>-691</v>
      </c>
      <c r="E5" s="83">
        <v>-494</v>
      </c>
      <c r="F5" s="84">
        <v>-902</v>
      </c>
      <c r="G5" s="79">
        <f>'Income Statement'!G3*Assumptions!$B$18</f>
        <v>-1046.2275416247944</v>
      </c>
      <c r="H5" s="80">
        <f>'Income Statement'!H3*Assumptions!$B$18</f>
        <v>-1171.7748466197697</v>
      </c>
      <c r="I5" s="80">
        <f>'Income Statement'!I3*Assumptions!$B$18</f>
        <v>-1312.3878282141422</v>
      </c>
      <c r="J5" s="80">
        <f>'Income Statement'!J3*Assumptions!$B$18</f>
        <v>-1469.8743675998396</v>
      </c>
      <c r="K5" s="81">
        <f>'Income Statement'!K3*Assumptions!$B$18</f>
        <v>-1646.2592917118204</v>
      </c>
    </row>
    <row r="6" spans="1:11" s="86" customFormat="1" x14ac:dyDescent="0.3">
      <c r="A6" s="10" t="s">
        <v>77</v>
      </c>
      <c r="B6" s="82">
        <v>1389</v>
      </c>
      <c r="C6" s="83">
        <v>-1382</v>
      </c>
      <c r="D6" s="83">
        <v>502</v>
      </c>
      <c r="E6" s="83">
        <v>1040</v>
      </c>
      <c r="F6" s="84">
        <v>-2063</v>
      </c>
      <c r="G6" s="82">
        <v>0</v>
      </c>
      <c r="H6" s="83">
        <v>0</v>
      </c>
      <c r="I6" s="83">
        <v>0</v>
      </c>
      <c r="J6" s="83">
        <v>0</v>
      </c>
      <c r="K6" s="84">
        <v>0</v>
      </c>
    </row>
    <row r="7" spans="1:11" x14ac:dyDescent="0.3">
      <c r="A7" s="1" t="s">
        <v>27</v>
      </c>
      <c r="B7" s="76">
        <f t="shared" ref="B7:F7" si="2">SUM(B8:B11)</f>
        <v>-403</v>
      </c>
      <c r="C7" s="77">
        <f t="shared" si="2"/>
        <v>457</v>
      </c>
      <c r="D7" s="77">
        <f t="shared" si="2"/>
        <v>-1329</v>
      </c>
      <c r="E7" s="77">
        <f t="shared" si="2"/>
        <v>-7</v>
      </c>
      <c r="F7" s="78">
        <f t="shared" si="2"/>
        <v>-2159</v>
      </c>
      <c r="G7" s="76">
        <f>SUM(G8:G11)</f>
        <v>-2662.2351612387442</v>
      </c>
      <c r="H7" s="77">
        <f t="shared" ref="H7:K7" si="3">SUM(H8:H11)</f>
        <v>-2865.94132226072</v>
      </c>
      <c r="I7" s="77">
        <f t="shared" si="3"/>
        <v>-3094.0922226053235</v>
      </c>
      <c r="J7" s="77">
        <f t="shared" si="3"/>
        <v>-3349.6212309912848</v>
      </c>
      <c r="K7" s="78">
        <f t="shared" si="3"/>
        <v>-3635.8137203835636</v>
      </c>
    </row>
    <row r="8" spans="1:11" s="86" customFormat="1" x14ac:dyDescent="0.3">
      <c r="A8" s="10" t="s">
        <v>78</v>
      </c>
      <c r="B8" s="82">
        <v>342</v>
      </c>
      <c r="C8" s="83">
        <v>1677</v>
      </c>
      <c r="D8" s="83">
        <v>5629</v>
      </c>
      <c r="E8" s="83">
        <v>2221</v>
      </c>
      <c r="F8" s="84">
        <v>682</v>
      </c>
      <c r="G8" s="82">
        <v>0</v>
      </c>
      <c r="H8" s="83">
        <v>0</v>
      </c>
      <c r="I8" s="83">
        <v>0</v>
      </c>
      <c r="J8" s="83">
        <v>0</v>
      </c>
      <c r="K8" s="84">
        <v>0</v>
      </c>
    </row>
    <row r="9" spans="1:11" s="86" customFormat="1" x14ac:dyDescent="0.3">
      <c r="A9" s="10" t="s">
        <v>81</v>
      </c>
      <c r="B9" s="85">
        <v>-218</v>
      </c>
      <c r="C9" s="86">
        <v>-300</v>
      </c>
      <c r="D9" s="86">
        <v>-619</v>
      </c>
      <c r="E9" s="86">
        <v>-538</v>
      </c>
      <c r="F9" s="87">
        <v>-1000</v>
      </c>
      <c r="G9" s="79">
        <f>-'Income Statement'!G21</f>
        <v>-1180</v>
      </c>
      <c r="H9" s="80">
        <f>-'Income Statement'!H21</f>
        <v>-1180</v>
      </c>
      <c r="I9" s="80">
        <f>-'Income Statement'!I21</f>
        <v>-1180</v>
      </c>
      <c r="J9" s="80">
        <f>-'Income Statement'!J21</f>
        <v>-1180</v>
      </c>
      <c r="K9" s="81">
        <f>-'Income Statement'!K21</f>
        <v>-1180</v>
      </c>
    </row>
    <row r="10" spans="1:11" s="86" customFormat="1" x14ac:dyDescent="0.3">
      <c r="A10" s="10" t="s">
        <v>79</v>
      </c>
      <c r="B10" s="82">
        <v>-355</v>
      </c>
      <c r="C10" s="83">
        <v>-666</v>
      </c>
      <c r="D10" s="83">
        <v>-888</v>
      </c>
      <c r="E10" s="83">
        <v>-976</v>
      </c>
      <c r="F10" s="84">
        <v>-976</v>
      </c>
      <c r="G10" s="79">
        <f>'Income Statement'!G27*Assumptions!$B$19</f>
        <v>-1482.2351612387442</v>
      </c>
      <c r="H10" s="80">
        <f>'Income Statement'!H27*Assumptions!$B$19</f>
        <v>-1685.94132226072</v>
      </c>
      <c r="I10" s="80">
        <f>'Income Statement'!I27*Assumptions!$B$19</f>
        <v>-1914.0922226053237</v>
      </c>
      <c r="J10" s="80">
        <f>'Income Statement'!J27*Assumptions!$B$19</f>
        <v>-2169.6212309912848</v>
      </c>
      <c r="K10" s="81">
        <f>'Income Statement'!K27*Assumptions!$B$19</f>
        <v>-2455.8137203835636</v>
      </c>
    </row>
    <row r="11" spans="1:11" s="86" customFormat="1" x14ac:dyDescent="0.3">
      <c r="A11" s="10" t="s">
        <v>80</v>
      </c>
      <c r="B11" s="82">
        <v>-172</v>
      </c>
      <c r="C11" s="83">
        <v>-254</v>
      </c>
      <c r="D11" s="83">
        <v>-5451</v>
      </c>
      <c r="E11" s="83">
        <v>-714</v>
      </c>
      <c r="F11" s="84">
        <v>-865</v>
      </c>
      <c r="G11" s="82">
        <v>0</v>
      </c>
      <c r="H11" s="83">
        <v>0</v>
      </c>
      <c r="I11" s="83">
        <v>0</v>
      </c>
      <c r="J11" s="83">
        <v>0</v>
      </c>
      <c r="K11" s="84">
        <v>0</v>
      </c>
    </row>
    <row r="12" spans="1:11" s="20" customFormat="1" ht="15" thickBot="1" x14ac:dyDescent="0.35">
      <c r="A12" s="7" t="s">
        <v>13</v>
      </c>
      <c r="B12" s="58">
        <f>B7+B4+B3</f>
        <v>38</v>
      </c>
      <c r="C12" s="8">
        <f t="shared" ref="C12:K12" si="4">C7+C4+C3</f>
        <v>13</v>
      </c>
      <c r="D12" s="8">
        <f t="shared" si="4"/>
        <v>177</v>
      </c>
      <c r="E12" s="8">
        <f t="shared" si="4"/>
        <v>-2</v>
      </c>
      <c r="F12" s="59">
        <f t="shared" si="4"/>
        <v>466</v>
      </c>
      <c r="G12" s="58">
        <f t="shared" si="4"/>
        <v>3541.9143167604616</v>
      </c>
      <c r="H12" s="8">
        <f t="shared" si="4"/>
        <v>155.45225938450312</v>
      </c>
      <c r="I12" s="8">
        <f t="shared" si="4"/>
        <v>253.17663980006182</v>
      </c>
      <c r="J12" s="8">
        <f t="shared" si="4"/>
        <v>362.62794586547261</v>
      </c>
      <c r="K12" s="59">
        <f t="shared" si="4"/>
        <v>485.21340865876573</v>
      </c>
    </row>
    <row r="13" spans="1:11" ht="15" thickTop="1" x14ac:dyDescent="0.3">
      <c r="B13" s="3"/>
      <c r="C13" s="3"/>
      <c r="D13" s="3"/>
      <c r="E13" s="3"/>
      <c r="F13" s="3"/>
    </row>
    <row r="14" spans="1:11" x14ac:dyDescent="0.3">
      <c r="B14" s="3"/>
      <c r="C14" s="3"/>
      <c r="D14" s="3"/>
      <c r="E14" s="3"/>
      <c r="F14" s="3"/>
    </row>
    <row r="15" spans="1:11" x14ac:dyDescent="0.3">
      <c r="B15" s="3"/>
      <c r="C15" s="3"/>
      <c r="D15" s="3"/>
      <c r="E15" s="3"/>
      <c r="F15" s="3"/>
    </row>
    <row r="16" spans="1:11" x14ac:dyDescent="0.3">
      <c r="B16" s="3"/>
      <c r="C16" s="3"/>
      <c r="D16" s="3"/>
      <c r="E16" s="3"/>
      <c r="F16" s="3"/>
    </row>
    <row r="17" spans="2:6" x14ac:dyDescent="0.3">
      <c r="B17" s="2"/>
      <c r="C17" s="2"/>
      <c r="D17" s="2"/>
      <c r="E17" s="2"/>
      <c r="F17" s="2"/>
    </row>
  </sheetData>
  <mergeCells count="2">
    <mergeCell ref="B1:F1"/>
    <mergeCell ref="G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C19B-497D-4D86-9049-AA445E53E00E}">
  <dimension ref="A1:K22"/>
  <sheetViews>
    <sheetView workbookViewId="0">
      <selection activeCell="L13" sqref="L13"/>
    </sheetView>
  </sheetViews>
  <sheetFormatPr defaultRowHeight="14.4" x14ac:dyDescent="0.3"/>
  <cols>
    <col min="1" max="1" width="31.5546875" bestFit="1" customWidth="1"/>
    <col min="2" max="2" width="10.77734375" style="88" customWidth="1"/>
    <col min="7" max="11" width="12.6640625" bestFit="1" customWidth="1"/>
  </cols>
  <sheetData>
    <row r="1" spans="1:11" x14ac:dyDescent="0.3">
      <c r="G1" s="16" t="s">
        <v>71</v>
      </c>
      <c r="H1" s="17"/>
      <c r="I1" s="17"/>
      <c r="J1" s="17"/>
      <c r="K1" s="18"/>
    </row>
    <row r="2" spans="1:11" x14ac:dyDescent="0.3">
      <c r="G2" s="46" t="s">
        <v>66</v>
      </c>
      <c r="H2" s="47" t="s">
        <v>67</v>
      </c>
      <c r="I2" s="47" t="s">
        <v>68</v>
      </c>
      <c r="J2" s="47" t="s">
        <v>69</v>
      </c>
      <c r="K2" s="48" t="s">
        <v>70</v>
      </c>
    </row>
    <row r="3" spans="1:11" x14ac:dyDescent="0.3">
      <c r="A3" t="s">
        <v>86</v>
      </c>
      <c r="G3" s="3">
        <f>'Income Statement'!G25+'Income Statement'!G21</f>
        <v>9303.1121845948946</v>
      </c>
      <c r="H3" s="3">
        <f>'Income Statement'!H25+'Income Statement'!H21</f>
        <v>10419.485646746311</v>
      </c>
      <c r="I3" s="3">
        <f>'Income Statement'!I25+'Income Statement'!I21</f>
        <v>11669.823924355849</v>
      </c>
      <c r="J3" s="3">
        <f>'Income Statement'!J25+'Income Statement'!J21</f>
        <v>13070.202795278557</v>
      </c>
      <c r="K3" s="3">
        <f>'Income Statement'!K25+'Income Statement'!K21</f>
        <v>14638.627130712004</v>
      </c>
    </row>
    <row r="4" spans="1:11" x14ac:dyDescent="0.3">
      <c r="A4" t="s">
        <v>87</v>
      </c>
      <c r="G4" s="3">
        <f>-G3*Assumptions!$B$14</f>
        <v>-2410.6590265896625</v>
      </c>
      <c r="H4" s="3">
        <f>-H3*Assumptions!$B$14</f>
        <v>-2699.9381097804298</v>
      </c>
      <c r="I4" s="3">
        <f>-I3*Assumptions!$B$14</f>
        <v>-3023.9306829540765</v>
      </c>
      <c r="J4" s="3">
        <f>-J3*Assumptions!$B$14</f>
        <v>-3386.8023649085671</v>
      </c>
      <c r="K4" s="3">
        <f>-K3*Assumptions!$B$14</f>
        <v>-3793.2186486976002</v>
      </c>
    </row>
    <row r="5" spans="1:11" x14ac:dyDescent="0.3">
      <c r="A5" t="s">
        <v>91</v>
      </c>
      <c r="G5" s="3">
        <f>SUM(G3:G4)</f>
        <v>6892.4531580052317</v>
      </c>
      <c r="H5" s="3">
        <f t="shared" ref="H5:K5" si="0">SUM(H3:H4)</f>
        <v>7719.5475369658807</v>
      </c>
      <c r="I5" s="3">
        <f t="shared" si="0"/>
        <v>8645.8932414017727</v>
      </c>
      <c r="J5" s="3">
        <f t="shared" si="0"/>
        <v>9683.4004303699912</v>
      </c>
      <c r="K5" s="3">
        <f t="shared" si="0"/>
        <v>10845.408482014403</v>
      </c>
    </row>
    <row r="6" spans="1:11" x14ac:dyDescent="0.3">
      <c r="A6" t="s">
        <v>88</v>
      </c>
      <c r="B6" s="89"/>
      <c r="G6" s="3">
        <f>'Income Statement'!G19</f>
        <v>1056.9957349649414</v>
      </c>
      <c r="H6" s="3">
        <f>'Income Statement'!H19</f>
        <v>1183.8352231607346</v>
      </c>
      <c r="I6" s="3">
        <f>'Income Statement'!I19</f>
        <v>1325.8954499400229</v>
      </c>
      <c r="J6" s="3">
        <f>'Income Statement'!J19</f>
        <v>1485.0029039328258</v>
      </c>
      <c r="K6" s="3">
        <f>'Income Statement'!K19</f>
        <v>1663.203252404765</v>
      </c>
    </row>
    <row r="7" spans="1:11" x14ac:dyDescent="0.3">
      <c r="A7" t="s">
        <v>89</v>
      </c>
      <c r="G7" s="3">
        <f>'Cash Flow'!G5</f>
        <v>-1046.2275416247944</v>
      </c>
      <c r="H7" s="3">
        <f>'Cash Flow'!H5</f>
        <v>-1171.7748466197697</v>
      </c>
      <c r="I7" s="3">
        <f>'Cash Flow'!I5</f>
        <v>-1312.3878282141422</v>
      </c>
      <c r="J7" s="3">
        <f>'Cash Flow'!J5</f>
        <v>-1469.8743675998396</v>
      </c>
      <c r="K7" s="3">
        <f>'Cash Flow'!K5</f>
        <v>-1646.2592917118204</v>
      </c>
    </row>
    <row r="8" spans="1:11" x14ac:dyDescent="0.3">
      <c r="A8" t="s">
        <v>90</v>
      </c>
      <c r="G8" s="3">
        <f>-(('Balance Sheet'!G21+'Balance Sheet'!G23-'Balance Sheet'!G11)-('Balance Sheet'!F21+'Balance Sheet'!F23-'Balance Sheet'!F11))</f>
        <v>-1004.838115323364</v>
      </c>
      <c r="H8" s="3">
        <f>-(('Balance Sheet'!H21+'Balance Sheet'!H23-'Balance Sheet'!H11)-('Balance Sheet'!G21+'Balance Sheet'!G23-'Balance Sheet'!G11))</f>
        <v>-5015.9805738388168</v>
      </c>
      <c r="I8" s="3">
        <f>-(('Balance Sheet'!I21+'Balance Sheet'!I23-'Balance Sheet'!I11)-('Balance Sheet'!H21+'Balance Sheet'!H23-'Balance Sheet'!H11))</f>
        <v>-5617.8982426994626</v>
      </c>
      <c r="J8" s="3">
        <f>-(('Balance Sheet'!J21+'Balance Sheet'!J23-'Balance Sheet'!J11)-('Balance Sheet'!I21+'Balance Sheet'!I23-'Balance Sheet'!I11))</f>
        <v>-6292.0460318234036</v>
      </c>
      <c r="K8" s="3">
        <f>-(('Balance Sheet'!K21+'Balance Sheet'!K23-'Balance Sheet'!K11)-('Balance Sheet'!J21+'Balance Sheet'!J23-'Balance Sheet'!J11))</f>
        <v>-7047.0915556422115</v>
      </c>
    </row>
    <row r="9" spans="1:11" ht="15" thickBot="1" x14ac:dyDescent="0.35">
      <c r="A9" s="94" t="s">
        <v>92</v>
      </c>
      <c r="B9" s="95"/>
      <c r="C9" s="94"/>
      <c r="D9" s="94"/>
      <c r="E9" s="94"/>
      <c r="F9" s="94"/>
      <c r="G9" s="96">
        <f>SUM(G5:G8)</f>
        <v>5898.3832360220149</v>
      </c>
      <c r="H9" s="96">
        <f t="shared" ref="H9:K9" si="1">SUM(H5:H8)</f>
        <v>2715.6273396680281</v>
      </c>
      <c r="I9" s="96">
        <f t="shared" si="1"/>
        <v>3041.5026204281894</v>
      </c>
      <c r="J9" s="96">
        <f t="shared" si="1"/>
        <v>3406.4829348795738</v>
      </c>
      <c r="K9" s="96">
        <f t="shared" si="1"/>
        <v>3815.2608870651366</v>
      </c>
    </row>
    <row r="10" spans="1:11" ht="15" thickTop="1" x14ac:dyDescent="0.3"/>
    <row r="11" spans="1:11" x14ac:dyDescent="0.3">
      <c r="A11" t="s">
        <v>107</v>
      </c>
      <c r="K11" s="9">
        <f>K9*(1+Assumptions!B30)/(Assumptions!B29-Assumptions!B30)</f>
        <v>52393.26295331274</v>
      </c>
    </row>
    <row r="13" spans="1:11" x14ac:dyDescent="0.3">
      <c r="A13" t="s">
        <v>109</v>
      </c>
      <c r="G13">
        <f>1/(1+Assumptions!$B$29)^1</f>
        <v>0.89198381863946219</v>
      </c>
      <c r="H13">
        <f>1/(1+Assumptions!$B$29)^2</f>
        <v>0.79563513271463682</v>
      </c>
      <c r="I13">
        <f>1/(1+Assumptions!$B$29)^3</f>
        <v>0.70969366392251709</v>
      </c>
      <c r="J13">
        <f>1/(1+Assumptions!$B$29)^4</f>
        <v>0.63303526440983782</v>
      </c>
      <c r="K13">
        <f>1/(1+Assumptions!$B$29)^5</f>
        <v>0.56465721248172873</v>
      </c>
    </row>
    <row r="15" spans="1:11" x14ac:dyDescent="0.3">
      <c r="A15" t="s">
        <v>110</v>
      </c>
      <c r="G15" s="9">
        <f>G9*G13</f>
        <v>5261.262402665905</v>
      </c>
      <c r="H15" s="9">
        <f t="shared" ref="H15:K15" si="2">H9*H13</f>
        <v>2160.6485188002675</v>
      </c>
      <c r="I15" s="9">
        <f t="shared" si="2"/>
        <v>2158.5351385216186</v>
      </c>
      <c r="J15" s="9">
        <f t="shared" si="2"/>
        <v>2156.4238253890912</v>
      </c>
      <c r="K15" s="9">
        <f t="shared" si="2"/>
        <v>2154.3145773807678</v>
      </c>
    </row>
    <row r="16" spans="1:11" x14ac:dyDescent="0.3">
      <c r="A16" t="s">
        <v>111</v>
      </c>
      <c r="K16" s="9">
        <f>K13*K11</f>
        <v>29584.233812039798</v>
      </c>
    </row>
    <row r="18" spans="1:7" x14ac:dyDescent="0.3">
      <c r="A18" t="s">
        <v>112</v>
      </c>
      <c r="G18" s="9">
        <f>SUM(G15:K15)+K16</f>
        <v>43475.418274797448</v>
      </c>
    </row>
    <row r="20" spans="1:7" x14ac:dyDescent="0.3">
      <c r="A20" t="s">
        <v>113</v>
      </c>
      <c r="G20" s="9">
        <f>G18-(Assumptions!B25-'Balance Sheet'!F25)</f>
        <v>14771.418274797448</v>
      </c>
    </row>
    <row r="22" spans="1:7" x14ac:dyDescent="0.3">
      <c r="A22" t="s">
        <v>114</v>
      </c>
      <c r="G22" s="3">
        <f>G20/Assumptions!B27</f>
        <v>166.38483488533456</v>
      </c>
    </row>
  </sheetData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Balance Sheet</vt:lpstr>
      <vt:lpstr>Cash Flow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Jaskirat Singh</dc:creator>
  <cp:lastModifiedBy>Jaskirat Singh</cp:lastModifiedBy>
  <dcterms:created xsi:type="dcterms:W3CDTF">2026-08-18T15:40:15Z</dcterms:created>
  <dcterms:modified xsi:type="dcterms:W3CDTF">2026-08-19T11:27:23Z</dcterms:modified>
</cp:coreProperties>
</file>